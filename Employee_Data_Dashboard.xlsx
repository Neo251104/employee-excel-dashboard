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955ce72facb7d74f/Desktop/"/>
    </mc:Choice>
  </mc:AlternateContent>
  <xr:revisionPtr revIDLastSave="139" documentId="14_{C80BB4BD-D5CB-44CB-B9AC-0C5C9C5F75A0}" xr6:coauthVersionLast="47" xr6:coauthVersionMax="47" xr10:uidLastSave="{B7FA45E9-728A-4E70-9337-115847514077}"/>
  <bookViews>
    <workbookView xWindow="-108" yWindow="-108" windowWidth="23256" windowHeight="12456" activeTab="2" xr2:uid="{4BCEECD9-5553-4FBF-8EC8-546E119579D9}"/>
  </bookViews>
  <sheets>
    <sheet name="Sheet3" sheetId="3" r:id="rId1"/>
    <sheet name="Sheet1" sheetId="1" r:id="rId2"/>
    <sheet name="Sheet2" sheetId="2" r:id="rId3"/>
  </sheets>
  <definedNames>
    <definedName name="Slicer_Department">#N/A</definedName>
    <definedName name="Slicer_Full_Name">#N/A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<sst xmlns="http://schemas.openxmlformats.org/spreadsheetml/2006/main" count="287" uniqueCount="150">
  <si>
    <t>Employee ID</t>
  </si>
  <si>
    <t>Full Name</t>
  </si>
  <si>
    <t>Department</t>
  </si>
  <si>
    <t>Position</t>
  </si>
  <si>
    <t>Salary</t>
  </si>
  <si>
    <t>Hire Date</t>
  </si>
  <si>
    <t>Location</t>
  </si>
  <si>
    <t>Status</t>
  </si>
  <si>
    <t>Manager</t>
  </si>
  <si>
    <t>Email</t>
  </si>
  <si>
    <t>Phone</t>
  </si>
  <si>
    <t>Performance Rating</t>
  </si>
  <si>
    <t>Projects Completed</t>
  </si>
  <si>
    <t>Training Hours</t>
  </si>
  <si>
    <t>Bonus %</t>
  </si>
  <si>
    <t>Tenure (Years)</t>
  </si>
  <si>
    <t>Notes</t>
  </si>
  <si>
    <t>E001</t>
  </si>
  <si>
    <t>John Smith</t>
  </si>
  <si>
    <t>Sales</t>
  </si>
  <si>
    <t>Sales Manager</t>
  </si>
  <si>
    <t>New York</t>
  </si>
  <si>
    <t>Active</t>
  </si>
  <si>
    <t>James Wilson</t>
  </si>
  <si>
    <t>john.smith@company.com</t>
  </si>
  <si>
    <t>4.5</t>
  </si>
  <si>
    <t>5.8</t>
  </si>
  <si>
    <t>Top performer</t>
  </si>
  <si>
    <t>E002</t>
  </si>
  <si>
    <t>Jane Doe</t>
  </si>
  <si>
    <t>IT</t>
  </si>
  <si>
    <t>Developer</t>
  </si>
  <si>
    <t>San Francisco</t>
  </si>
  <si>
    <t>Robert Chen</t>
  </si>
  <si>
    <t>jane.doe@company.com</t>
  </si>
  <si>
    <t>3.8</t>
  </si>
  <si>
    <t>3.4</t>
  </si>
  <si>
    <t>E003</t>
  </si>
  <si>
    <t>Michael Johnson</t>
  </si>
  <si>
    <t>Sales Representative</t>
  </si>
  <si>
    <t>michael.j@company.com</t>
  </si>
  <si>
    <t>4.2</t>
  </si>
  <si>
    <t>2.0</t>
  </si>
  <si>
    <t>E004</t>
  </si>
  <si>
    <t>Sarah Williams</t>
  </si>
  <si>
    <t>Marketing</t>
  </si>
  <si>
    <t>Coordinator</t>
  </si>
  <si>
    <t>Chicago</t>
  </si>
  <si>
    <t>Lisa Brown</t>
  </si>
  <si>
    <t>sarah.williams@company.com</t>
  </si>
  <si>
    <t>3.5</t>
  </si>
  <si>
    <t>2.9</t>
  </si>
  <si>
    <t>E005</t>
  </si>
  <si>
    <t>David Lee</t>
  </si>
  <si>
    <t>Senior Developer</t>
  </si>
  <si>
    <t>Remote</t>
  </si>
  <si>
    <t>david.lee@company.com</t>
  </si>
  <si>
    <t>4.7</t>
  </si>
  <si>
    <t>5.6</t>
  </si>
  <si>
    <t>Works remotely</t>
  </si>
  <si>
    <t>E006</t>
  </si>
  <si>
    <t>Amanda Garcia</t>
  </si>
  <si>
    <t>Finance</t>
  </si>
  <si>
    <t>Analyst</t>
  </si>
  <si>
    <t>Boston</t>
  </si>
  <si>
    <t>Tom Harris</t>
  </si>
  <si>
    <t>amanda.g@company.com</t>
  </si>
  <si>
    <t>3.9</t>
  </si>
  <si>
    <t>2.2</t>
  </si>
  <si>
    <t>E007</t>
  </si>
  <si>
    <t>Vice President</t>
  </si>
  <si>
    <t>CEO</t>
  </si>
  <si>
    <t>james.wilson@company.com</t>
  </si>
  <si>
    <t>4.8</t>
  </si>
  <si>
    <t>8.3</t>
  </si>
  <si>
    <t>Department head</t>
  </si>
  <si>
    <t>E008</t>
  </si>
  <si>
    <t>Director</t>
  </si>
  <si>
    <t>robert.chen@company.com</t>
  </si>
  <si>
    <t>4.6</t>
  </si>
  <si>
    <t>6.7</t>
  </si>
  <si>
    <t>E009</t>
  </si>
  <si>
    <t>lisa.brown@company.com</t>
  </si>
  <si>
    <t>4.4</t>
  </si>
  <si>
    <t>7.2</t>
  </si>
  <si>
    <t>E010</t>
  </si>
  <si>
    <t>tom.h@company.com</t>
  </si>
  <si>
    <t>4.3</t>
  </si>
  <si>
    <t>6.0</t>
  </si>
  <si>
    <t>E011</t>
  </si>
  <si>
    <t>Brian Taylor</t>
  </si>
  <si>
    <t>brian.t@company.com</t>
  </si>
  <si>
    <t>3.2</t>
  </si>
  <si>
    <t>0.9</t>
  </si>
  <si>
    <t>New hire</t>
  </si>
  <si>
    <t>E012</t>
  </si>
  <si>
    <t>Emily Clark</t>
  </si>
  <si>
    <t>Specialist</t>
  </si>
  <si>
    <t>emily.clark@company.com</t>
  </si>
  <si>
    <t>3.7</t>
  </si>
  <si>
    <t>1.5</t>
  </si>
  <si>
    <t>E013</t>
  </si>
  <si>
    <t>Kevin Martinez</t>
  </si>
  <si>
    <t>Accountant</t>
  </si>
  <si>
    <t>kevin.m@company.com</t>
  </si>
  <si>
    <t>3.6</t>
  </si>
  <si>
    <t>3.3</t>
  </si>
  <si>
    <t>E014</t>
  </si>
  <si>
    <t>Jennifer White</t>
  </si>
  <si>
    <t>j.white@company.com</t>
  </si>
  <si>
    <t>4.1</t>
  </si>
  <si>
    <t>4.0</t>
  </si>
  <si>
    <t>E015</t>
  </si>
  <si>
    <t>Mark Thompson</t>
  </si>
  <si>
    <t>mark.t@company.com</t>
  </si>
  <si>
    <t>1.8</t>
  </si>
  <si>
    <t>E016</t>
  </si>
  <si>
    <t>Sophia Lee</t>
  </si>
  <si>
    <t>HR</t>
  </si>
  <si>
    <t>Inactive</t>
  </si>
  <si>
    <t>sophia.lee@company.com</t>
  </si>
  <si>
    <t>2.8</t>
  </si>
  <si>
    <t>Left company 2023</t>
  </si>
  <si>
    <t>E017</t>
  </si>
  <si>
    <t>Daniel Kim Jr.</t>
  </si>
  <si>
    <t>daniel.kim@company.com</t>
  </si>
  <si>
    <t>2.4</t>
  </si>
  <si>
    <t>E018</t>
  </si>
  <si>
    <t>Patricia Moore</t>
  </si>
  <si>
    <t>patricia.m@company.com</t>
  </si>
  <si>
    <t>1.0</t>
  </si>
  <si>
    <t>E019</t>
  </si>
  <si>
    <t>Richard Davis</t>
  </si>
  <si>
    <t>richard.d@company.com</t>
  </si>
  <si>
    <t>2.6</t>
  </si>
  <si>
    <t>E020</t>
  </si>
  <si>
    <t>Michelle Lewis</t>
  </si>
  <si>
    <t>m.lewis@company.com</t>
  </si>
  <si>
    <t>1.3</t>
  </si>
  <si>
    <t>Employee Dashboard</t>
  </si>
  <si>
    <t>Evaluating Employee Performance</t>
  </si>
  <si>
    <t>(blank)</t>
  </si>
  <si>
    <t>Grand Total</t>
  </si>
  <si>
    <t>Count of Performance Rating</t>
  </si>
  <si>
    <t>Sum of Salary</t>
  </si>
  <si>
    <t>Employee</t>
  </si>
  <si>
    <t>Sum of Bonus %</t>
  </si>
  <si>
    <t>Sum of Projects Completed</t>
  </si>
  <si>
    <t>Sum of Training Hours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</si>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</sst>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R-1C09]* #,##0.00_-;\-[$R-1C09]* #,##0.00_-;_-[$R-1C09]* &quot;-&quot;??_-;_-@_-"/>
  </numFmts>
  <fonts count="3" x14ac:knownFonts="1">
    <font>
      <sz val="11"/>
      <color theme="1"/>
      <name val="Aptos Narrow"/>
      <family val="2"/>
      <scheme val="minor"/>
    </font>
    <font>
      <sz val="16"/>
      <color theme="6" tint="0.39997558519241921"/>
      <name val="Aptos Narrow"/>
      <family val="2"/>
      <scheme val="minor"/>
    </font>
    <font>
      <sz val="36"/>
      <color rgb="FF00B0F0"/>
      <name val="Arial Rounded MT Bold"/>
      <family val="2"/>
    </font>
  </fonts>
  <fills count="4">
    <fill>
      <patternFill patternType="none"/>
    </fill>
    <fill>
      <patternFill patternType="gray125"/>
    </fill>
    <fill>
      <patternFill patternType="solid">
        <fgColor theme="4" tint="-0.24997711111789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2" borderId="0" xfId="0" applyFill="1"/>
    <xf numFmtId="0" fontId="0" fillId="3" borderId="0" xfId="0" applyFill="1"/>
    <xf numFmtId="0" fontId="1" fillId="2" borderId="0" xfId="0" applyFont="1" applyFill="1"/>
    <xf numFmtId="0" fontId="2"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Performance Rating By</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676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38888888888888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334E-2"/>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D16-4EE9-A59E-3FA2B3EEE9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6-4EE9-A59E-3FA2B3EEE9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3D16-4EE9-A59E-3FA2B3EEE9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3D16-4EE9-A59E-3FA2B3EEE9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3D16-4EE9-A59E-3FA2B3EEE969}"/>
              </c:ext>
            </c:extLst>
          </c:dPt>
          <c:dLbls>
            <c:dLbl>
              <c:idx val="0"/>
              <c:layout>
                <c:manualLayout>
                  <c:x val="2.7777777777777676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16-4EE9-A59E-3FA2B3EEE969}"/>
                </c:ext>
              </c:extLst>
            </c:dLbl>
            <c:dLbl>
              <c:idx val="1"/>
              <c:layout>
                <c:manualLayout>
                  <c:x val="6.111111111111110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16-4EE9-A59E-3FA2B3EEE969}"/>
                </c:ext>
              </c:extLst>
            </c:dLbl>
            <c:dLbl>
              <c:idx val="2"/>
              <c:layout>
                <c:manualLayout>
                  <c:x val="6.38888888888888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16-4EE9-A59E-3FA2B3EEE969}"/>
                </c:ext>
              </c:extLst>
            </c:dLbl>
            <c:dLbl>
              <c:idx val="3"/>
              <c:layout>
                <c:manualLayout>
                  <c:x val="-5.8333333333333334E-2"/>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16-4EE9-A59E-3FA2B3EEE969}"/>
                </c:ext>
              </c:extLst>
            </c:dLbl>
            <c:dLbl>
              <c:idx val="4"/>
              <c:layout>
                <c:manualLayout>
                  <c:x val="-7.5000000000000025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16-4EE9-A59E-3FA2B3EEE9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Sheet3!$A$14:$A$19</c:f>
              <c:strCache>
                <c:ptCount val="5"/>
                <c:pt idx="0">
                  <c:v>Finance</c:v>
                </c:pt>
                <c:pt idx="1">
                  <c:v>HR</c:v>
                </c:pt>
                <c:pt idx="2">
                  <c:v>IT</c:v>
                </c:pt>
                <c:pt idx="3">
                  <c:v>Marketing</c:v>
                </c:pt>
                <c:pt idx="4">
                  <c:v>Sales</c:v>
                </c:pt>
              </c:strCache>
            </c:strRef>
          </c:cat>
          <c:val>
            <c:numRef>
              <c:f>Sheet3!$B$14:$B$19</c:f>
              <c:numCache>
                <c:formatCode>General</c:formatCode>
                <c:ptCount val="5"/>
                <c:pt idx="0">
                  <c:v>4</c:v>
                </c:pt>
                <c:pt idx="1">
                  <c:v>1</c:v>
                </c:pt>
                <c:pt idx="2">
                  <c:v>5</c:v>
                </c:pt>
                <c:pt idx="3">
                  <c:v>4</c:v>
                </c:pt>
                <c:pt idx="4">
                  <c:v>6</c:v>
                </c:pt>
              </c:numCache>
            </c:numRef>
          </c:val>
          <c:extLst>
            <c:ext xmlns:c16="http://schemas.microsoft.com/office/drawing/2014/chart" uri="{C3380CC4-5D6E-409C-BE32-E72D297353CC}">
              <c16:uniqueId val="{00000000-3D16-4EE9-A59E-3FA2B3EEE9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Sheet3!$E$3</c:f>
              <c:strCache>
                <c:ptCount val="1"/>
                <c:pt idx="0">
                  <c:v>Total</c:v>
                </c:pt>
              </c:strCache>
            </c:strRef>
          </c:tx>
          <c:spPr>
            <a:solidFill>
              <a:schemeClr val="accent1"/>
            </a:solidFill>
            <a:ln>
              <a:noFill/>
            </a:ln>
            <a:effectLst/>
            <a:sp3d/>
          </c:spPr>
          <c:invertIfNegative val="0"/>
          <c:cat>
            <c:strRef>
              <c:f>Sheet3!$D$4:$D$24</c:f>
              <c:strCache>
                <c:ptCount val="20"/>
                <c:pt idx="0">
                  <c:v>Amanda Garcia</c:v>
                </c:pt>
                <c:pt idx="1">
                  <c:v>Brian Taylor</c:v>
                </c:pt>
                <c:pt idx="2">
                  <c:v>Daniel Kim Jr.</c:v>
                </c:pt>
                <c:pt idx="3">
                  <c:v>David Lee</c:v>
                </c:pt>
                <c:pt idx="4">
                  <c:v>Emily Clark</c:v>
                </c:pt>
                <c:pt idx="5">
                  <c:v>James Wilson</c:v>
                </c:pt>
                <c:pt idx="6">
                  <c:v>Jane Doe</c:v>
                </c:pt>
                <c:pt idx="7">
                  <c:v>Jennifer White</c:v>
                </c:pt>
                <c:pt idx="8">
                  <c:v>John Smith</c:v>
                </c:pt>
                <c:pt idx="9">
                  <c:v>Kevin Martinez</c:v>
                </c:pt>
                <c:pt idx="10">
                  <c:v>Lisa Brown</c:v>
                </c:pt>
                <c:pt idx="11">
                  <c:v>Mark Thompson</c:v>
                </c:pt>
                <c:pt idx="12">
                  <c:v>Michael Johnson</c:v>
                </c:pt>
                <c:pt idx="13">
                  <c:v>Michelle Lewis</c:v>
                </c:pt>
                <c:pt idx="14">
                  <c:v>Patricia Moore</c:v>
                </c:pt>
                <c:pt idx="15">
                  <c:v>Richard Davis</c:v>
                </c:pt>
                <c:pt idx="16">
                  <c:v>Robert Chen</c:v>
                </c:pt>
                <c:pt idx="17">
                  <c:v>Sarah Williams</c:v>
                </c:pt>
                <c:pt idx="18">
                  <c:v>Sophia Lee</c:v>
                </c:pt>
                <c:pt idx="19">
                  <c:v>Tom Harris</c:v>
                </c:pt>
              </c:strCache>
            </c:strRef>
          </c:cat>
          <c:val>
            <c:numRef>
              <c:f>Sheet3!$E$4:$E$24</c:f>
              <c:numCache>
                <c:formatCode>General</c:formatCode>
                <c:ptCount val="20"/>
                <c:pt idx="0">
                  <c:v>75500</c:v>
                </c:pt>
                <c:pt idx="1">
                  <c:v>70000</c:v>
                </c:pt>
                <c:pt idx="2">
                  <c:v>88000</c:v>
                </c:pt>
                <c:pt idx="3">
                  <c:v>110000</c:v>
                </c:pt>
                <c:pt idx="4">
                  <c:v>65000</c:v>
                </c:pt>
                <c:pt idx="5">
                  <c:v>150000</c:v>
                </c:pt>
                <c:pt idx="6">
                  <c:v>85000</c:v>
                </c:pt>
                <c:pt idx="7">
                  <c:v>90000</c:v>
                </c:pt>
                <c:pt idx="8">
                  <c:v>95000</c:v>
                </c:pt>
                <c:pt idx="9">
                  <c:v>70000</c:v>
                </c:pt>
                <c:pt idx="10">
                  <c:v>125000</c:v>
                </c:pt>
                <c:pt idx="11">
                  <c:v>68000</c:v>
                </c:pt>
                <c:pt idx="12">
                  <c:v>72000</c:v>
                </c:pt>
                <c:pt idx="13">
                  <c:v>74000</c:v>
                </c:pt>
                <c:pt idx="14">
                  <c:v>66000</c:v>
                </c:pt>
                <c:pt idx="15">
                  <c:v>71000</c:v>
                </c:pt>
                <c:pt idx="16">
                  <c:v>135000</c:v>
                </c:pt>
                <c:pt idx="17">
                  <c:v>68000</c:v>
                </c:pt>
                <c:pt idx="18">
                  <c:v>82000</c:v>
                </c:pt>
                <c:pt idx="19">
                  <c:v>130000</c:v>
                </c:pt>
              </c:numCache>
            </c:numRef>
          </c:val>
          <c:extLst>
            <c:ext xmlns:c16="http://schemas.microsoft.com/office/drawing/2014/chart" uri="{C3380CC4-5D6E-409C-BE32-E72D297353CC}">
              <c16:uniqueId val="{00000000-F539-4E64-BE61-EA11B3343383}"/>
            </c:ext>
          </c:extLst>
        </c:ser>
        <c:dLbls>
          <c:showLegendKey val="0"/>
          <c:showVal val="0"/>
          <c:showCatName val="0"/>
          <c:showSerName val="0"/>
          <c:showPercent val="0"/>
          <c:showBubbleSize val="0"/>
        </c:dLbls>
        <c:gapWidth val="150"/>
        <c:shape val="box"/>
        <c:axId val="178345664"/>
        <c:axId val="178348064"/>
        <c:axId val="0"/>
      </c:bar3DChart>
      <c:catAx>
        <c:axId val="17834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8064"/>
        <c:crosses val="autoZero"/>
        <c:auto val="1"/>
        <c:lblAlgn val="ctr"/>
        <c:lblOffset val="100"/>
        <c:noMultiLvlLbl val="0"/>
      </c:catAx>
      <c:valAx>
        <c:axId val="17834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Sheet3!$K$3</c:f>
              <c:strCache>
                <c:ptCount val="1"/>
                <c:pt idx="0">
                  <c:v>Total</c:v>
                </c:pt>
              </c:strCache>
            </c:strRef>
          </c:tx>
          <c:spPr>
            <a:solidFill>
              <a:schemeClr val="accent1"/>
            </a:solidFill>
            <a:ln>
              <a:noFill/>
            </a:ln>
            <a:effectLst/>
          </c:spPr>
          <c:invertIfNegative val="0"/>
          <c:cat>
            <c:strRef>
              <c:f>Sheet3!$J$4:$J$5</c:f>
              <c:strCache>
                <c:ptCount val="1"/>
                <c:pt idx="0">
                  <c:v>Daniel Kim Jr.</c:v>
                </c:pt>
              </c:strCache>
            </c:strRef>
          </c:cat>
          <c:val>
            <c:numRef>
              <c:f>Sheet3!$K$4:$K$5</c:f>
              <c:numCache>
                <c:formatCode>General</c:formatCode>
                <c:ptCount val="1"/>
                <c:pt idx="0">
                  <c:v>45</c:v>
                </c:pt>
              </c:numCache>
            </c:numRef>
          </c:val>
          <c:extLst>
            <c:ext xmlns:c16="http://schemas.microsoft.com/office/drawing/2014/chart" uri="{C3380CC4-5D6E-409C-BE32-E72D297353CC}">
              <c16:uniqueId val="{00000003-CE7F-445D-B61B-580A9DCFA2E0}"/>
            </c:ext>
          </c:extLst>
        </c:ser>
        <c:dLbls>
          <c:showLegendKey val="0"/>
          <c:showVal val="0"/>
          <c:showCatName val="0"/>
          <c:showSerName val="0"/>
          <c:showPercent val="0"/>
          <c:showBubbleSize val="0"/>
        </c:dLbls>
        <c:gapWidth val="150"/>
        <c:axId val="127475840"/>
        <c:axId val="127483520"/>
      </c:barChart>
      <c:catAx>
        <c:axId val="12747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3520"/>
        <c:crosses val="autoZero"/>
        <c:auto val="1"/>
        <c:lblAlgn val="ctr"/>
        <c:lblOffset val="100"/>
        <c:noMultiLvlLbl val="0"/>
      </c:catAx>
      <c:valAx>
        <c:axId val="12748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7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Training Hours By</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Sheet3!$K$3</c:f>
              <c:strCache>
                <c:ptCount val="1"/>
                <c:pt idx="0">
                  <c:v>Total</c:v>
                </c:pt>
              </c:strCache>
            </c:strRef>
          </c:tx>
          <c:spPr>
            <a:solidFill>
              <a:schemeClr val="accent1"/>
            </a:solidFill>
            <a:ln>
              <a:noFill/>
            </a:ln>
            <a:effectLst/>
          </c:spPr>
          <c:cat>
            <c:strRef>
              <c:f>Sheet3!$J$4:$J$5</c:f>
              <c:strCache>
                <c:ptCount val="1"/>
                <c:pt idx="0">
                  <c:v>Daniel Kim Jr.</c:v>
                </c:pt>
              </c:strCache>
            </c:strRef>
          </c:cat>
          <c:val>
            <c:numRef>
              <c:f>Sheet3!$K$4:$K$5</c:f>
              <c:numCache>
                <c:formatCode>General</c:formatCode>
                <c:ptCount val="1"/>
                <c:pt idx="0">
                  <c:v>45</c:v>
                </c:pt>
              </c:numCache>
            </c:numRef>
          </c:val>
          <c:extLst>
            <c:ext xmlns:c16="http://schemas.microsoft.com/office/drawing/2014/chart" uri="{C3380CC4-5D6E-409C-BE32-E72D297353CC}">
              <c16:uniqueId val="{00000000-3F3A-491E-9204-EBC26E93F967}"/>
            </c:ext>
          </c:extLst>
        </c:ser>
        <c:dLbls>
          <c:showLegendKey val="0"/>
          <c:showVal val="0"/>
          <c:showCatName val="0"/>
          <c:showSerName val="0"/>
          <c:showPercent val="0"/>
          <c:showBubbleSize val="0"/>
        </c:dLbls>
        <c:axId val="111351792"/>
        <c:axId val="111350832"/>
      </c:areaChart>
      <c:catAx>
        <c:axId val="11135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0832"/>
        <c:crosses val="autoZero"/>
        <c:auto val="1"/>
        <c:lblAlgn val="ctr"/>
        <c:lblOffset val="100"/>
        <c:noMultiLvlLbl val="0"/>
      </c:catAx>
      <c:valAx>
        <c:axId val="11135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1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Performance Rating By</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676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111111111111110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38888888888888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8333333333333334E-2"/>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676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111111111111110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38888888888888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333333333333334E-2"/>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7777777777777676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11111111111110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388888888888888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34E-2"/>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5000000000000025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s>
    <c:plotArea>
      <c:layout/>
      <c:doughnutChart>
        <c:varyColors val="1"/>
        <c:ser>
          <c:idx val="0"/>
          <c:order val="0"/>
          <c:tx>
            <c:strRef>
              <c:f>Sheet3!$B$13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D-4453-84B9-1FA3206835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D-4453-84B9-1FA3206835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3D-4453-84B9-1FA3206835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3D-4453-84B9-1FA3206835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3D-4453-84B9-1FA3206835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3D-4453-84B9-1FA3206835F5}"/>
              </c:ext>
            </c:extLst>
          </c:dPt>
          <c:dLbls>
            <c:dLbl>
              <c:idx val="0"/>
              <c:layout>
                <c:manualLayout>
                  <c:x val="2.7777777777777676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3D-4453-84B9-1FA3206835F5}"/>
                </c:ext>
              </c:extLst>
            </c:dLbl>
            <c:dLbl>
              <c:idx val="1"/>
              <c:layout>
                <c:manualLayout>
                  <c:x val="6.1111111111111109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3D-4453-84B9-1FA3206835F5}"/>
                </c:ext>
              </c:extLst>
            </c:dLbl>
            <c:dLbl>
              <c:idx val="2"/>
              <c:layout>
                <c:manualLayout>
                  <c:x val="6.388888888888888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3D-4453-84B9-1FA3206835F5}"/>
                </c:ext>
              </c:extLst>
            </c:dLbl>
            <c:dLbl>
              <c:idx val="3"/>
              <c:layout>
                <c:manualLayout>
                  <c:x val="-5.8333333333333334E-2"/>
                  <c:y val="4.6296296296296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3D-4453-84B9-1FA3206835F5}"/>
                </c:ext>
              </c:extLst>
            </c:dLbl>
            <c:dLbl>
              <c:idx val="4"/>
              <c:layout>
                <c:manualLayout>
                  <c:x val="-7.5000000000000025E-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3D-4453-84B9-1FA3206835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Sheet3!$A$14:$A$19</c:f>
              <c:strCache>
                <c:ptCount val="5"/>
                <c:pt idx="0">
                  <c:v>Finance</c:v>
                </c:pt>
                <c:pt idx="1">
                  <c:v>HR</c:v>
                </c:pt>
                <c:pt idx="2">
                  <c:v>IT</c:v>
                </c:pt>
                <c:pt idx="3">
                  <c:v>Marketing</c:v>
                </c:pt>
                <c:pt idx="4">
                  <c:v>Sales</c:v>
                </c:pt>
              </c:strCache>
            </c:strRef>
          </c:cat>
          <c:val>
            <c:numRef>
              <c:f>Sheet3!$B$14:$B$19</c:f>
              <c:numCache>
                <c:formatCode>General</c:formatCode>
                <c:ptCount val="5"/>
                <c:pt idx="0">
                  <c:v>4</c:v>
                </c:pt>
                <c:pt idx="1">
                  <c:v>1</c:v>
                </c:pt>
                <c:pt idx="2">
                  <c:v>5</c:v>
                </c:pt>
                <c:pt idx="3">
                  <c:v>4</c:v>
                </c:pt>
                <c:pt idx="4">
                  <c:v>6</c:v>
                </c:pt>
              </c:numCache>
            </c:numRef>
          </c:val>
          <c:extLst>
            <c:ext xmlns:c16="http://schemas.microsoft.com/office/drawing/2014/chart" uri="{C3380CC4-5D6E-409C-BE32-E72D297353CC}">
              <c16:uniqueId val="{0000000C-263D-4453-84B9-1FA3206835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a:t>
            </a:r>
            <a:r>
              <a:rPr lang="en-US" baseline="0"/>
              <a:t> of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Sheet3!$E$3</c:f>
              <c:strCache>
                <c:ptCount val="1"/>
                <c:pt idx="0">
                  <c:v>Total</c:v>
                </c:pt>
              </c:strCache>
            </c:strRef>
          </c:tx>
          <c:spPr>
            <a:solidFill>
              <a:schemeClr val="accent1"/>
            </a:solidFill>
            <a:ln>
              <a:noFill/>
            </a:ln>
            <a:effectLst/>
          </c:spPr>
          <c:invertIfNegative val="0"/>
          <c:cat>
            <c:strRef>
              <c:f>Sheet3!$D$4:$D$24</c:f>
              <c:strCache>
                <c:ptCount val="20"/>
                <c:pt idx="0">
                  <c:v>Amanda Garcia</c:v>
                </c:pt>
                <c:pt idx="1">
                  <c:v>Brian Taylor</c:v>
                </c:pt>
                <c:pt idx="2">
                  <c:v>Daniel Kim Jr.</c:v>
                </c:pt>
                <c:pt idx="3">
                  <c:v>David Lee</c:v>
                </c:pt>
                <c:pt idx="4">
                  <c:v>Emily Clark</c:v>
                </c:pt>
                <c:pt idx="5">
                  <c:v>James Wilson</c:v>
                </c:pt>
                <c:pt idx="6">
                  <c:v>Jane Doe</c:v>
                </c:pt>
                <c:pt idx="7">
                  <c:v>Jennifer White</c:v>
                </c:pt>
                <c:pt idx="8">
                  <c:v>John Smith</c:v>
                </c:pt>
                <c:pt idx="9">
                  <c:v>Kevin Martinez</c:v>
                </c:pt>
                <c:pt idx="10">
                  <c:v>Lisa Brown</c:v>
                </c:pt>
                <c:pt idx="11">
                  <c:v>Mark Thompson</c:v>
                </c:pt>
                <c:pt idx="12">
                  <c:v>Michael Johnson</c:v>
                </c:pt>
                <c:pt idx="13">
                  <c:v>Michelle Lewis</c:v>
                </c:pt>
                <c:pt idx="14">
                  <c:v>Patricia Moore</c:v>
                </c:pt>
                <c:pt idx="15">
                  <c:v>Richard Davis</c:v>
                </c:pt>
                <c:pt idx="16">
                  <c:v>Robert Chen</c:v>
                </c:pt>
                <c:pt idx="17">
                  <c:v>Sarah Williams</c:v>
                </c:pt>
                <c:pt idx="18">
                  <c:v>Sophia Lee</c:v>
                </c:pt>
                <c:pt idx="19">
                  <c:v>Tom Harris</c:v>
                </c:pt>
              </c:strCache>
            </c:strRef>
          </c:cat>
          <c:val>
            <c:numRef>
              <c:f>Sheet3!$E$4:$E$24</c:f>
              <c:numCache>
                <c:formatCode>General</c:formatCode>
                <c:ptCount val="20"/>
                <c:pt idx="0">
                  <c:v>75500</c:v>
                </c:pt>
                <c:pt idx="1">
                  <c:v>70000</c:v>
                </c:pt>
                <c:pt idx="2">
                  <c:v>88000</c:v>
                </c:pt>
                <c:pt idx="3">
                  <c:v>110000</c:v>
                </c:pt>
                <c:pt idx="4">
                  <c:v>65000</c:v>
                </c:pt>
                <c:pt idx="5">
                  <c:v>150000</c:v>
                </c:pt>
                <c:pt idx="6">
                  <c:v>85000</c:v>
                </c:pt>
                <c:pt idx="7">
                  <c:v>90000</c:v>
                </c:pt>
                <c:pt idx="8">
                  <c:v>95000</c:v>
                </c:pt>
                <c:pt idx="9">
                  <c:v>70000</c:v>
                </c:pt>
                <c:pt idx="10">
                  <c:v>125000</c:v>
                </c:pt>
                <c:pt idx="11">
                  <c:v>68000</c:v>
                </c:pt>
                <c:pt idx="12">
                  <c:v>72000</c:v>
                </c:pt>
                <c:pt idx="13">
                  <c:v>74000</c:v>
                </c:pt>
                <c:pt idx="14">
                  <c:v>66000</c:v>
                </c:pt>
                <c:pt idx="15">
                  <c:v>71000</c:v>
                </c:pt>
                <c:pt idx="16">
                  <c:v>135000</c:v>
                </c:pt>
                <c:pt idx="17">
                  <c:v>68000</c:v>
                </c:pt>
                <c:pt idx="18">
                  <c:v>82000</c:v>
                </c:pt>
                <c:pt idx="19">
                  <c:v>130000</c:v>
                </c:pt>
              </c:numCache>
            </c:numRef>
          </c:val>
          <c:extLst>
            <c:ext xmlns:c16="http://schemas.microsoft.com/office/drawing/2014/chart" uri="{C3380CC4-5D6E-409C-BE32-E72D297353CC}">
              <c16:uniqueId val="{00000000-A847-4AD8-B6CD-433FEB022C9C}"/>
            </c:ext>
          </c:extLst>
        </c:ser>
        <c:dLbls>
          <c:showLegendKey val="0"/>
          <c:showVal val="0"/>
          <c:showCatName val="0"/>
          <c:showSerName val="0"/>
          <c:showPercent val="0"/>
          <c:showBubbleSize val="0"/>
        </c:dLbls>
        <c:gapWidth val="150"/>
        <c:axId val="178345664"/>
        <c:axId val="178348064"/>
      </c:barChart>
      <c:catAx>
        <c:axId val="17834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8064"/>
        <c:crosses val="autoZero"/>
        <c:auto val="1"/>
        <c:lblAlgn val="ctr"/>
        <c:lblOffset val="100"/>
        <c:noMultiLvlLbl val="0"/>
      </c:catAx>
      <c:valAx>
        <c:axId val="17834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[Employee_Data_Dashboard.xlsx]Sheet3!PivotTable4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Training Hours By</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Sheet3!$K$3</c:f>
              <c:strCache>
                <c:ptCount val="1"/>
                <c:pt idx="0">
                  <c:v>Total</c:v>
                </c:pt>
              </c:strCache>
            </c:strRef>
          </c:tx>
          <c:spPr>
            <a:solidFill>
              <a:schemeClr val="accent1"/>
            </a:solidFill>
            <a:ln>
              <a:noFill/>
            </a:ln>
            <a:effectLst/>
          </c:spPr>
          <c:cat>
            <c:strRef>
              <c:f>Sheet3!$J$4:$J$5</c:f>
              <c:strCache>
                <c:ptCount val="1"/>
                <c:pt idx="0">
                  <c:v>Daniel Kim Jr.</c:v>
                </c:pt>
              </c:strCache>
            </c:strRef>
          </c:cat>
          <c:val>
            <c:numRef>
              <c:f>Sheet3!$K$4:$K$5</c:f>
              <c:numCache>
                <c:formatCode>General</c:formatCode>
                <c:ptCount val="1"/>
                <c:pt idx="0">
                  <c:v>45</c:v>
                </c:pt>
              </c:numCache>
            </c:numRef>
          </c:val>
          <c:extLst>
            <c:ext xmlns:c16="http://schemas.microsoft.com/office/drawing/2014/chart" uri="{C3380CC4-5D6E-409C-BE32-E72D297353CC}">
              <c16:uniqueId val="{00000000-3F3A-491E-9204-EBC26E93F967}"/>
            </c:ext>
          </c:extLst>
        </c:ser>
        <c:dLbls>
          <c:showLegendKey val="0"/>
          <c:showVal val="0"/>
          <c:showCatName val="0"/>
          <c:showSerName val="0"/>
          <c:showPercent val="0"/>
          <c:showBubbleSize val="0"/>
        </c:dLbls>
        <c:axId val="111351792"/>
        <c:axId val="111350832"/>
      </c:areaChart>
      <c:catAx>
        <c:axId val="11135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0832"/>
        <c:crosses val="autoZero"/>
        <c:auto val="1"/>
        <c:lblAlgn val="ctr"/>
        <c:lblOffset val="100"/>
        <c:noMultiLvlLbl val="0"/>
      </c:catAx>
      <c:valAx>
        <c:axId val="11135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1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68580</xdr:rowOff>
    </xdr:from>
    <xdr:to>
      <xdr:col>1</xdr:col>
      <xdr:colOff>678180</xdr:colOff>
      <xdr:row>16</xdr:row>
      <xdr:rowOff>41910</xdr:rowOff>
    </xdr:to>
    <xdr:graphicFrame macro="">
      <xdr:nvGraphicFramePr>
        <xdr:cNvPr id="7" name="Chart 6">
          <a:extLst>
            <a:ext uri="{FF2B5EF4-FFF2-40B4-BE49-F238E27FC236}">
              <a16:creationId xmlns:a16="http://schemas.microsoft.com/office/drawing/2014/main" id="{02BDDBB4-EDEB-359A-43B5-A8C097454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8</xdr:row>
      <xdr:rowOff>106680</xdr:rowOff>
    </xdr:from>
    <xdr:to>
      <xdr:col>4</xdr:col>
      <xdr:colOff>716280</xdr:colOff>
      <xdr:row>20</xdr:row>
      <xdr:rowOff>144780</xdr:rowOff>
    </xdr:to>
    <xdr:graphicFrame macro="">
      <xdr:nvGraphicFramePr>
        <xdr:cNvPr id="8" name="Chart 7">
          <a:extLst>
            <a:ext uri="{FF2B5EF4-FFF2-40B4-BE49-F238E27FC236}">
              <a16:creationId xmlns:a16="http://schemas.microsoft.com/office/drawing/2014/main" id="{3E77AE4D-498D-662D-A6A7-7345E00FC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792480</xdr:colOff>
      <xdr:row>8</xdr:row>
      <xdr:rowOff>41910</xdr:rowOff>
    </xdr:from>
    <xdr:to>
      <xdr:col>8</xdr:col>
      <xdr:colOff>381000</xdr:colOff>
      <xdr:row>21</xdr:row>
      <xdr:rowOff>137160</xdr:rowOff>
    </xdr:to>
    <xdr:graphicFrame macro="">
      <xdr:nvGraphicFramePr>
        <xdr:cNvPr id="9" name="Chart 8">
          <a:extLst>
            <a:ext uri="{FF2B5EF4-FFF2-40B4-BE49-F238E27FC236}">
              <a16:creationId xmlns:a16="http://schemas.microsoft.com/office/drawing/2014/main" id="{7C295B81-5C58-16EB-3838-931EC8487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281940</xdr:colOff>
      <xdr:row>11</xdr:row>
      <xdr:rowOff>49530</xdr:rowOff>
    </xdr:from>
    <xdr:to>
      <xdr:col>12</xdr:col>
      <xdr:colOff>845820</xdr:colOff>
      <xdr:row>28</xdr:row>
      <xdr:rowOff>30480</xdr:rowOff>
    </xdr:to>
    <xdr:graphicFrame macro="">
      <xdr:nvGraphicFramePr>
        <xdr:cNvPr id="10" name="Chart 9">
          <a:extLst>
            <a:ext uri="{FF2B5EF4-FFF2-40B4-BE49-F238E27FC236}">
              <a16:creationId xmlns:a16="http://schemas.microsoft.com/office/drawing/2014/main" id="{15B6A69F-4ECE-F7A9-4B7A-AF18556A5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563880</xdr:colOff>
      <xdr:row>1</xdr:row>
      <xdr:rowOff>167640</xdr:rowOff>
    </xdr:from>
    <xdr:to>
      <xdr:col>13</xdr:col>
      <xdr:colOff>83820</xdr:colOff>
      <xdr:row>6</xdr:row>
      <xdr:rowOff>0</xdr:rowOff>
    </xdr:to>
    <xdr:sp macro="" textlink="">
      <xdr:nvSpPr>
        <xdr:cNvPr id="2" name="Rectangle: Diagonal Corners Rounded 1">
          <a:extLst>
            <a:ext uri="{FF2B5EF4-FFF2-40B4-BE49-F238E27FC236}">
              <a16:creationId xmlns:a16="http://schemas.microsoft.com/office/drawing/2014/main" id="{DB5C0853-2D9F-F92F-C9BC-474B0D90E1E6}"/>
            </a:ext>
          </a:extLst>
        </xdr:cNvPr>
        <xdr:cNvSpPr/>
      </xdr:nvSpPr>
      <xdr:spPr>
        <a:xfrm>
          <a:off x="6050280" y="350520"/>
          <a:ext cx="1958340" cy="1295400"/>
        </a:xfrm>
        <a:prstGeom prst="round2DiagRect">
          <a:avLst>
            <a:gd name="adj1" fmla="val 16667"/>
            <a:gd name="adj2" fmla="val 16535"/>
          </a:avLst>
        </a:prstGeom>
        <a:solidFill>
          <a:srgbClr val="0070C0"/>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10</xdr:col>
      <xdr:colOff>129540</xdr:colOff>
      <xdr:row>1</xdr:row>
      <xdr:rowOff>182880</xdr:rowOff>
    </xdr:from>
    <xdr:to>
      <xdr:col>13</xdr:col>
      <xdr:colOff>91440</xdr:colOff>
      <xdr:row>5</xdr:row>
      <xdr:rowOff>175260</xdr:rowOff>
    </xdr:to>
    <xdr:sp macro="" textlink="">
      <xdr:nvSpPr>
        <xdr:cNvPr id="4" name="Rectangle: Single Corner Rounded 3">
          <a:extLst>
            <a:ext uri="{FF2B5EF4-FFF2-40B4-BE49-F238E27FC236}">
              <a16:creationId xmlns:a16="http://schemas.microsoft.com/office/drawing/2014/main" id="{09442DBF-0B21-7D42-93B0-6FDD2CB047CA}"/>
            </a:ext>
          </a:extLst>
        </xdr:cNvPr>
        <xdr:cNvSpPr/>
      </xdr:nvSpPr>
      <xdr:spPr>
        <a:xfrm>
          <a:off x="6225540" y="365760"/>
          <a:ext cx="1790700" cy="1272540"/>
        </a:xfrm>
        <a:prstGeom prst="round1Rect">
          <a:avLst/>
        </a:prstGeom>
        <a:solidFill>
          <a:schemeClr val="bg1"/>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11</xdr:col>
      <xdr:colOff>190500</xdr:colOff>
      <xdr:row>1</xdr:row>
      <xdr:rowOff>335280</xdr:rowOff>
    </xdr:from>
    <xdr:to>
      <xdr:col>11</xdr:col>
      <xdr:colOff>198120</xdr:colOff>
      <xdr:row>4</xdr:row>
      <xdr:rowOff>91440</xdr:rowOff>
    </xdr:to>
    <xdr:cxnSp macro="">
      <xdr:nvCxnSpPr>
        <xdr:cNvPr id="6" name="Straight Connector 5">
          <a:extLst>
            <a:ext uri="{FF2B5EF4-FFF2-40B4-BE49-F238E27FC236}">
              <a16:creationId xmlns:a16="http://schemas.microsoft.com/office/drawing/2014/main" id="{C1A7A826-1C14-450D-9676-0981853F5C1D}"/>
            </a:ext>
          </a:extLst>
        </xdr:cNvPr>
        <xdr:cNvCxnSpPr/>
      </xdr:nvCxnSpPr>
      <xdr:spPr>
        <a:xfrm flipH="1">
          <a:off x="6896100" y="518160"/>
          <a:ext cx="7620" cy="8534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533400</xdr:colOff>
      <xdr:row>1</xdr:row>
      <xdr:rowOff>182880</xdr:rowOff>
    </xdr:from>
    <xdr:to>
      <xdr:col>17</xdr:col>
      <xdr:colOff>53340</xdr:colOff>
      <xdr:row>5</xdr:row>
      <xdr:rowOff>175260</xdr:rowOff>
    </xdr:to>
    <xdr:sp macro="" textlink="">
      <xdr:nvSpPr>
        <xdr:cNvPr id="7" name="Rectangle: Diagonal Corners Rounded 6">
          <a:extLst>
            <a:ext uri="{FF2B5EF4-FFF2-40B4-BE49-F238E27FC236}">
              <a16:creationId xmlns:a16="http://schemas.microsoft.com/office/drawing/2014/main" id="{48F7BD32-564F-408C-B317-7883E9AF993D}"/>
            </a:ext>
          </a:extLst>
        </xdr:cNvPr>
        <xdr:cNvSpPr/>
      </xdr:nvSpPr>
      <xdr:spPr>
        <a:xfrm>
          <a:off x="8458200" y="365760"/>
          <a:ext cx="1958340" cy="1272540"/>
        </a:xfrm>
        <a:prstGeom prst="round2DiagRect">
          <a:avLst>
            <a:gd name="adj1" fmla="val 16667"/>
            <a:gd name="adj2" fmla="val 16535"/>
          </a:avLst>
        </a:prstGeom>
        <a:solidFill>
          <a:srgbClr val="0070C0"/>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14</xdr:col>
      <xdr:colOff>99060</xdr:colOff>
      <xdr:row>1</xdr:row>
      <xdr:rowOff>182880</xdr:rowOff>
    </xdr:from>
    <xdr:to>
      <xdr:col>17</xdr:col>
      <xdr:colOff>60960</xdr:colOff>
      <xdr:row>5</xdr:row>
      <xdr:rowOff>160020</xdr:rowOff>
    </xdr:to>
    <xdr:sp macro="" textlink="">
      <xdr:nvSpPr>
        <xdr:cNvPr id="8" name="Rectangle: Single Corner Rounded 7">
          <a:extLst>
            <a:ext uri="{FF2B5EF4-FFF2-40B4-BE49-F238E27FC236}">
              <a16:creationId xmlns:a16="http://schemas.microsoft.com/office/drawing/2014/main" id="{FFC9B0FA-9892-431F-81E3-D51E3EACB95A}"/>
            </a:ext>
          </a:extLst>
        </xdr:cNvPr>
        <xdr:cNvSpPr/>
      </xdr:nvSpPr>
      <xdr:spPr>
        <a:xfrm>
          <a:off x="8633460" y="365760"/>
          <a:ext cx="1790700" cy="1257300"/>
        </a:xfrm>
        <a:prstGeom prst="round1Rect">
          <a:avLst/>
        </a:prstGeom>
        <a:solidFill>
          <a:schemeClr val="bg1"/>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167640</xdr:colOff>
      <xdr:row>1</xdr:row>
      <xdr:rowOff>365760</xdr:rowOff>
    </xdr:from>
    <xdr:to>
      <xdr:col>15</xdr:col>
      <xdr:colOff>167640</xdr:colOff>
      <xdr:row>4</xdr:row>
      <xdr:rowOff>76200</xdr:rowOff>
    </xdr:to>
    <xdr:cxnSp macro="">
      <xdr:nvCxnSpPr>
        <xdr:cNvPr id="9" name="Straight Connector 8">
          <a:extLst>
            <a:ext uri="{FF2B5EF4-FFF2-40B4-BE49-F238E27FC236}">
              <a16:creationId xmlns:a16="http://schemas.microsoft.com/office/drawing/2014/main" id="{64F571D1-690A-4A9E-A8B4-5FB50DAC6254}"/>
            </a:ext>
          </a:extLst>
        </xdr:cNvPr>
        <xdr:cNvCxnSpPr/>
      </xdr:nvCxnSpPr>
      <xdr:spPr>
        <a:xfrm>
          <a:off x="9311640" y="548640"/>
          <a:ext cx="0" cy="807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17</xdr:col>
      <xdr:colOff>525780</xdr:colOff>
      <xdr:row>1</xdr:row>
      <xdr:rowOff>190500</xdr:rowOff>
    </xdr:from>
    <xdr:to>
      <xdr:col>21</xdr:col>
      <xdr:colOff>45720</xdr:colOff>
      <xdr:row>5</xdr:row>
      <xdr:rowOff>167640</xdr:rowOff>
    </xdr:to>
    <xdr:sp macro="" textlink="">
      <xdr:nvSpPr>
        <xdr:cNvPr id="10" name="Rectangle: Diagonal Corners Rounded 9">
          <a:extLst>
            <a:ext uri="{FF2B5EF4-FFF2-40B4-BE49-F238E27FC236}">
              <a16:creationId xmlns:a16="http://schemas.microsoft.com/office/drawing/2014/main" id="{372EC7FF-22C6-4E11-9D1F-E1FB5BD9DC8B}"/>
            </a:ext>
          </a:extLst>
        </xdr:cNvPr>
        <xdr:cNvSpPr/>
      </xdr:nvSpPr>
      <xdr:spPr>
        <a:xfrm>
          <a:off x="10888980" y="373380"/>
          <a:ext cx="1958340" cy="1257300"/>
        </a:xfrm>
        <a:prstGeom prst="round2DiagRect">
          <a:avLst>
            <a:gd name="adj1" fmla="val 16667"/>
            <a:gd name="adj2" fmla="val 16535"/>
          </a:avLst>
        </a:prstGeom>
        <a:solidFill>
          <a:srgbClr val="0070C0"/>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editAs="absolute">
    <xdr:from>
      <xdr:col>18</xdr:col>
      <xdr:colOff>83820</xdr:colOff>
      <xdr:row>1</xdr:row>
      <xdr:rowOff>198120</xdr:rowOff>
    </xdr:from>
    <xdr:to>
      <xdr:col>21</xdr:col>
      <xdr:colOff>45720</xdr:colOff>
      <xdr:row>5</xdr:row>
      <xdr:rowOff>152400</xdr:rowOff>
    </xdr:to>
    <xdr:sp macro="" textlink="">
      <xdr:nvSpPr>
        <xdr:cNvPr id="11" name="Rectangle: Single Corner Rounded 10">
          <a:extLst>
            <a:ext uri="{FF2B5EF4-FFF2-40B4-BE49-F238E27FC236}">
              <a16:creationId xmlns:a16="http://schemas.microsoft.com/office/drawing/2014/main" id="{830F7313-CF02-4371-B9E1-6A6BD5BF0337}"/>
            </a:ext>
          </a:extLst>
        </xdr:cNvPr>
        <xdr:cNvSpPr/>
      </xdr:nvSpPr>
      <xdr:spPr>
        <a:xfrm>
          <a:off x="11056620" y="381000"/>
          <a:ext cx="1790700" cy="1234440"/>
        </a:xfrm>
        <a:prstGeom prst="round1Rect">
          <a:avLst/>
        </a:prstGeom>
        <a:solidFill>
          <a:schemeClr val="bg1"/>
        </a:solidFill>
        <a:scene3d>
          <a:camera prst="orthographicFront"/>
          <a:lightRig rig="threePt" dir="t">
            <a:rot lat="0" lon="0" rev="1800000"/>
          </a:lightRig>
        </a:scene3d>
        <a:sp3d extrusionH="101600">
          <a:bevelT w="114300"/>
          <a:bevelB w="1143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19</xdr:col>
      <xdr:colOff>144780</xdr:colOff>
      <xdr:row>1</xdr:row>
      <xdr:rowOff>342900</xdr:rowOff>
    </xdr:from>
    <xdr:to>
      <xdr:col>19</xdr:col>
      <xdr:colOff>160020</xdr:colOff>
      <xdr:row>4</xdr:row>
      <xdr:rowOff>76200</xdr:rowOff>
    </xdr:to>
    <xdr:cxnSp macro="">
      <xdr:nvCxnSpPr>
        <xdr:cNvPr id="12" name="Straight Connector 11">
          <a:extLst>
            <a:ext uri="{FF2B5EF4-FFF2-40B4-BE49-F238E27FC236}">
              <a16:creationId xmlns:a16="http://schemas.microsoft.com/office/drawing/2014/main" id="{3114EA38-E660-4DF1-8B33-25A883825559}"/>
            </a:ext>
          </a:extLst>
        </xdr:cNvPr>
        <xdr:cNvCxnSpPr/>
      </xdr:nvCxnSpPr>
      <xdr:spPr>
        <a:xfrm flipH="1">
          <a:off x="11727180" y="525780"/>
          <a:ext cx="15240" cy="8305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175260</xdr:colOff>
      <xdr:row>1</xdr:row>
      <xdr:rowOff>518160</xdr:rowOff>
    </xdr:from>
    <xdr:to>
      <xdr:col>15</xdr:col>
      <xdr:colOff>105660</xdr:colOff>
      <xdr:row>3</xdr:row>
      <xdr:rowOff>227580</xdr:rowOff>
    </xdr:to>
    <xdr:pic>
      <xdr:nvPicPr>
        <xdr:cNvPr id="14" name="Graphic 13" descr="List outline">
          <a:extLst>
            <a:ext uri="{FF2B5EF4-FFF2-40B4-BE49-F238E27FC236}">
              <a16:creationId xmlns:a16="http://schemas.microsoft.com/office/drawing/2014/main" id="{2AE7ED0A-2124-0FC5-B4CA-257617CF1A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709660" y="701040"/>
          <a:ext cx="540000" cy="540000"/>
        </a:xfrm>
        <a:prstGeom prst="rect">
          <a:avLst/>
        </a:prstGeom>
      </xdr:spPr>
    </xdr:pic>
    <xdr:clientData/>
  </xdr:twoCellAnchor>
  <xdr:twoCellAnchor editAs="oneCell">
    <xdr:from>
      <xdr:col>18</xdr:col>
      <xdr:colOff>165240</xdr:colOff>
      <xdr:row>1</xdr:row>
      <xdr:rowOff>424320</xdr:rowOff>
    </xdr:from>
    <xdr:to>
      <xdr:col>19</xdr:col>
      <xdr:colOff>167640</xdr:colOff>
      <xdr:row>3</xdr:row>
      <xdr:rowOff>205740</xdr:rowOff>
    </xdr:to>
    <xdr:pic>
      <xdr:nvPicPr>
        <xdr:cNvPr id="16" name="Graphic 15" descr="Stopwatch 75% outline">
          <a:extLst>
            <a:ext uri="{FF2B5EF4-FFF2-40B4-BE49-F238E27FC236}">
              <a16:creationId xmlns:a16="http://schemas.microsoft.com/office/drawing/2014/main" id="{EC423E84-396E-7EA5-C1F6-5BF139F262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38040" y="607200"/>
          <a:ext cx="612000" cy="612000"/>
        </a:xfrm>
        <a:prstGeom prst="rect">
          <a:avLst/>
        </a:prstGeom>
      </xdr:spPr>
    </xdr:pic>
    <xdr:clientData/>
  </xdr:twoCellAnchor>
  <xdr:twoCellAnchor editAs="oneCell">
    <xdr:from>
      <xdr:col>0</xdr:col>
      <xdr:colOff>0</xdr:colOff>
      <xdr:row>7</xdr:row>
      <xdr:rowOff>167640</xdr:rowOff>
    </xdr:from>
    <xdr:to>
      <xdr:col>2</xdr:col>
      <xdr:colOff>205740</xdr:colOff>
      <xdr:row>24</xdr:row>
      <xdr:rowOff>45720</xdr:rowOff>
    </xdr:to>
    <mc:AlternateContent xmlns:mc="http://schemas.openxmlformats.org/markup-compatibility/2006" xmlns:a14="http://schemas.microsoft.com/office/drawing/2010/main">
      <mc:Choice Requires="a14">
        <xdr:graphicFrame macro="">
          <xdr:nvGraphicFramePr>
            <xdr:cNvPr id="21" name="Full Name 1">
              <a:extLst>
                <a:ext uri="{FF2B5EF4-FFF2-40B4-BE49-F238E27FC236}">
                  <a16:creationId xmlns:a16="http://schemas.microsoft.com/office/drawing/2014/main" id="{0D96B4C1-45EC-4C68-9DF3-B50CE53B9C18}"/>
                </a:ext>
              </a:extLst>
            </xdr:cNvPr>
            <xdr:cNvGraphicFramePr/>
          </xdr:nvGraphicFramePr>
          <xdr:xfrm>
            <a:off x="0" y="0"/>
            <a:ext cx="0" cy="0"/>
          </xdr:xfrm>
          <a:graphic>
            <a:graphicData uri="http://schemas.microsoft.com/office/drawing/2010/slicer">
              <sle:slicer xmlns:sle="http://schemas.microsoft.com/office/drawing/2010/slicer" name="Full Name 1"/>
            </a:graphicData>
          </a:graphic>
        </xdr:graphicFrame>
      </mc:Choice>
      <mc:Fallback xmlns="">
        <xdr:sp macro="" textlink="">
          <xdr:nvSpPr>
            <xdr:cNvPr id="0" name=""/>
            <xdr:cNvSpPr>
              <a:spLocks noTextEdit="1"/>
            </xdr:cNvSpPr>
          </xdr:nvSpPr>
          <xdr:spPr>
            <a:xfrm>
              <a:off x="0" y="1996440"/>
              <a:ext cx="1424940" cy="29870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7</xdr:row>
      <xdr:rowOff>175261</xdr:rowOff>
    </xdr:from>
    <xdr:to>
      <xdr:col>4</xdr:col>
      <xdr:colOff>114300</xdr:colOff>
      <xdr:row>15</xdr:row>
      <xdr:rowOff>137160</xdr:rowOff>
    </xdr:to>
    <mc:AlternateContent xmlns:mc="http://schemas.openxmlformats.org/markup-compatibility/2006" xmlns:a14="http://schemas.microsoft.com/office/drawing/2010/main">
      <mc:Choice Requires="a14">
        <xdr:graphicFrame macro="">
          <xdr:nvGraphicFramePr>
            <xdr:cNvPr id="23" name="Department 1">
              <a:extLst>
                <a:ext uri="{FF2B5EF4-FFF2-40B4-BE49-F238E27FC236}">
                  <a16:creationId xmlns:a16="http://schemas.microsoft.com/office/drawing/2014/main" id="{1542F7AD-6B39-4FB9-8AFE-FAF06A78D3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24940" y="2004061"/>
              <a:ext cx="1127760" cy="14249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15</xdr:row>
      <xdr:rowOff>137160</xdr:rowOff>
    </xdr:from>
    <xdr:to>
      <xdr:col>4</xdr:col>
      <xdr:colOff>121920</xdr:colOff>
      <xdr:row>24</xdr:row>
      <xdr:rowOff>38100</xdr:rowOff>
    </xdr:to>
    <mc:AlternateContent xmlns:mc="http://schemas.openxmlformats.org/markup-compatibility/2006" xmlns:a14="http://schemas.microsoft.com/office/drawing/2010/main">
      <mc:Choice Requires="a14">
        <xdr:graphicFrame macro="">
          <xdr:nvGraphicFramePr>
            <xdr:cNvPr id="25" name="Location 1">
              <a:extLst>
                <a:ext uri="{FF2B5EF4-FFF2-40B4-BE49-F238E27FC236}">
                  <a16:creationId xmlns:a16="http://schemas.microsoft.com/office/drawing/2014/main" id="{570A2AB4-163B-489B-93D3-210806AA1E1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424940" y="3429000"/>
              <a:ext cx="1135380" cy="15468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8</xdr:row>
      <xdr:rowOff>15240</xdr:rowOff>
    </xdr:from>
    <xdr:to>
      <xdr:col>8</xdr:col>
      <xdr:colOff>350520</xdr:colOff>
      <xdr:row>24</xdr:row>
      <xdr:rowOff>45720</xdr:rowOff>
    </xdr:to>
    <xdr:graphicFrame macro="">
      <xdr:nvGraphicFramePr>
        <xdr:cNvPr id="28" name="Chart 27">
          <a:extLst>
            <a:ext uri="{FF2B5EF4-FFF2-40B4-BE49-F238E27FC236}">
              <a16:creationId xmlns:a16="http://schemas.microsoft.com/office/drawing/2014/main" id="{0D43CDFA-0C85-445A-A4B9-828148D6D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251460</xdr:colOff>
      <xdr:row>1</xdr:row>
      <xdr:rowOff>381000</xdr:rowOff>
    </xdr:from>
    <xdr:to>
      <xdr:col>12</xdr:col>
      <xdr:colOff>563880</xdr:colOff>
      <xdr:row>2</xdr:row>
      <xdr:rowOff>137160</xdr:rowOff>
    </xdr:to>
    <xdr:sp macro="" textlink="Sheet3!R7">
      <xdr:nvSpPr>
        <xdr:cNvPr id="29" name="TextBox 28">
          <a:extLst>
            <a:ext uri="{FF2B5EF4-FFF2-40B4-BE49-F238E27FC236}">
              <a16:creationId xmlns:a16="http://schemas.microsoft.com/office/drawing/2014/main" id="{8DA38200-8817-CA6E-B2E3-13BCE44CAF68}"/>
            </a:ext>
          </a:extLst>
        </xdr:cNvPr>
        <xdr:cNvSpPr txBox="1"/>
      </xdr:nvSpPr>
      <xdr:spPr>
        <a:xfrm>
          <a:off x="6957060" y="563880"/>
          <a:ext cx="922020" cy="32004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E8813-7AE8-4B4B-9191-B505A3ACD6DC}" type="TxLink">
            <a:rPr lang="en-US" sz="1100" b="0" i="0" u="none" strike="noStrike">
              <a:solidFill>
                <a:srgbClr val="000000"/>
              </a:solidFill>
              <a:latin typeface="Aptos Narrow"/>
            </a:rPr>
            <a:pPr algn="ctr"/>
            <a:t>245</a:t>
          </a:fld>
          <a:endParaRPr lang="en-ZA" sz="1100"/>
        </a:p>
      </xdr:txBody>
    </xdr:sp>
    <xdr:clientData/>
  </xdr:twoCellAnchor>
  <xdr:twoCellAnchor editAs="absolute">
    <xdr:from>
      <xdr:col>11</xdr:col>
      <xdr:colOff>342900</xdr:colOff>
      <xdr:row>2</xdr:row>
      <xdr:rowOff>205740</xdr:rowOff>
    </xdr:from>
    <xdr:to>
      <xdr:col>12</xdr:col>
      <xdr:colOff>495300</xdr:colOff>
      <xdr:row>4</xdr:row>
      <xdr:rowOff>121920</xdr:rowOff>
    </xdr:to>
    <xdr:sp macro="" textlink="">
      <xdr:nvSpPr>
        <xdr:cNvPr id="30" name="TextBox 29">
          <a:extLst>
            <a:ext uri="{FF2B5EF4-FFF2-40B4-BE49-F238E27FC236}">
              <a16:creationId xmlns:a16="http://schemas.microsoft.com/office/drawing/2014/main" id="{8F02288A-8A74-BE8F-9EA0-7A09526BD0B3}"/>
            </a:ext>
          </a:extLst>
        </xdr:cNvPr>
        <xdr:cNvSpPr txBox="1"/>
      </xdr:nvSpPr>
      <xdr:spPr>
        <a:xfrm>
          <a:off x="7048500" y="952500"/>
          <a:ext cx="762000" cy="44958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200" b="1">
              <a:solidFill>
                <a:srgbClr val="00B0F0"/>
              </a:solidFill>
            </a:rPr>
            <a:t>Bonus</a:t>
          </a:r>
          <a:r>
            <a:rPr lang="en-ZA" sz="1200" b="1" baseline="0">
              <a:solidFill>
                <a:srgbClr val="00B0F0"/>
              </a:solidFill>
            </a:rPr>
            <a:t> %</a:t>
          </a:r>
          <a:endParaRPr lang="en-ZA" sz="1200" b="1">
            <a:solidFill>
              <a:srgbClr val="00B0F0"/>
            </a:solidFill>
          </a:endParaRPr>
        </a:p>
      </xdr:txBody>
    </xdr:sp>
    <xdr:clientData/>
  </xdr:twoCellAnchor>
  <xdr:twoCellAnchor editAs="absolute">
    <xdr:from>
      <xdr:col>15</xdr:col>
      <xdr:colOff>236220</xdr:colOff>
      <xdr:row>1</xdr:row>
      <xdr:rowOff>396240</xdr:rowOff>
    </xdr:from>
    <xdr:to>
      <xdr:col>16</xdr:col>
      <xdr:colOff>548640</xdr:colOff>
      <xdr:row>2</xdr:row>
      <xdr:rowOff>152400</xdr:rowOff>
    </xdr:to>
    <xdr:sp macro="" textlink="Sheet3!R6">
      <xdr:nvSpPr>
        <xdr:cNvPr id="33" name="TextBox 32">
          <a:extLst>
            <a:ext uri="{FF2B5EF4-FFF2-40B4-BE49-F238E27FC236}">
              <a16:creationId xmlns:a16="http://schemas.microsoft.com/office/drawing/2014/main" id="{6406DDC8-0417-40BE-8FAE-83BEEE2679E1}"/>
            </a:ext>
          </a:extLst>
        </xdr:cNvPr>
        <xdr:cNvSpPr txBox="1"/>
      </xdr:nvSpPr>
      <xdr:spPr>
        <a:xfrm>
          <a:off x="9380220" y="579120"/>
          <a:ext cx="922020" cy="32004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E7A4B6-8AF0-49C4-A43A-EB20C23D1FD0}" type="TxLink">
            <a:rPr lang="en-US" sz="1100" b="0" i="0" u="none" strike="noStrike">
              <a:solidFill>
                <a:srgbClr val="000000"/>
              </a:solidFill>
              <a:latin typeface="Aptos Narrow"/>
            </a:rPr>
            <a:pPr algn="ctr"/>
            <a:t>249</a:t>
          </a:fld>
          <a:endParaRPr lang="en-US" sz="1100"/>
        </a:p>
      </xdr:txBody>
    </xdr:sp>
    <xdr:clientData/>
  </xdr:twoCellAnchor>
  <xdr:twoCellAnchor editAs="absolute">
    <xdr:from>
      <xdr:col>15</xdr:col>
      <xdr:colOff>342900</xdr:colOff>
      <xdr:row>2</xdr:row>
      <xdr:rowOff>220980</xdr:rowOff>
    </xdr:from>
    <xdr:to>
      <xdr:col>16</xdr:col>
      <xdr:colOff>495300</xdr:colOff>
      <xdr:row>4</xdr:row>
      <xdr:rowOff>99060</xdr:rowOff>
    </xdr:to>
    <xdr:sp macro="" textlink="">
      <xdr:nvSpPr>
        <xdr:cNvPr id="34" name="TextBox 33">
          <a:extLst>
            <a:ext uri="{FF2B5EF4-FFF2-40B4-BE49-F238E27FC236}">
              <a16:creationId xmlns:a16="http://schemas.microsoft.com/office/drawing/2014/main" id="{E1CAA210-33D3-4368-B7CB-7D3BED02C63B}"/>
            </a:ext>
          </a:extLst>
        </xdr:cNvPr>
        <xdr:cNvSpPr txBox="1"/>
      </xdr:nvSpPr>
      <xdr:spPr>
        <a:xfrm>
          <a:off x="9486900" y="967740"/>
          <a:ext cx="762000" cy="41148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50" b="1">
              <a:solidFill>
                <a:srgbClr val="00B0F0"/>
              </a:solidFill>
            </a:rPr>
            <a:t>Projects Complete</a:t>
          </a:r>
        </a:p>
      </xdr:txBody>
    </xdr:sp>
    <xdr:clientData/>
  </xdr:twoCellAnchor>
  <xdr:twoCellAnchor editAs="absolute">
    <xdr:from>
      <xdr:col>19</xdr:col>
      <xdr:colOff>213360</xdr:colOff>
      <xdr:row>1</xdr:row>
      <xdr:rowOff>396240</xdr:rowOff>
    </xdr:from>
    <xdr:to>
      <xdr:col>20</xdr:col>
      <xdr:colOff>525780</xdr:colOff>
      <xdr:row>2</xdr:row>
      <xdr:rowOff>152400</xdr:rowOff>
    </xdr:to>
    <xdr:sp macro="" textlink="Sheet3!R8">
      <xdr:nvSpPr>
        <xdr:cNvPr id="35" name="TextBox 34">
          <a:extLst>
            <a:ext uri="{FF2B5EF4-FFF2-40B4-BE49-F238E27FC236}">
              <a16:creationId xmlns:a16="http://schemas.microsoft.com/office/drawing/2014/main" id="{7AAE5790-95BD-4C9C-A07F-73AA54AF02EB}"/>
            </a:ext>
          </a:extLst>
        </xdr:cNvPr>
        <xdr:cNvSpPr txBox="1"/>
      </xdr:nvSpPr>
      <xdr:spPr>
        <a:xfrm>
          <a:off x="11795760" y="579120"/>
          <a:ext cx="922020" cy="32004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6F1121-8FE7-43D9-94EE-830A0A6F42C2}" type="TxLink">
            <a:rPr lang="en-US" sz="1100" b="0" i="0" u="none" strike="noStrike">
              <a:solidFill>
                <a:srgbClr val="000000"/>
              </a:solidFill>
              <a:latin typeface="Aptos Narrow"/>
            </a:rPr>
            <a:pPr algn="ctr"/>
            <a:t>830</a:t>
          </a:fld>
          <a:endParaRPr lang="en-ZA" sz="1100"/>
        </a:p>
      </xdr:txBody>
    </xdr:sp>
    <xdr:clientData/>
  </xdr:twoCellAnchor>
  <xdr:twoCellAnchor editAs="absolute">
    <xdr:from>
      <xdr:col>19</xdr:col>
      <xdr:colOff>297180</xdr:colOff>
      <xdr:row>2</xdr:row>
      <xdr:rowOff>228600</xdr:rowOff>
    </xdr:from>
    <xdr:to>
      <xdr:col>20</xdr:col>
      <xdr:colOff>449580</xdr:colOff>
      <xdr:row>4</xdr:row>
      <xdr:rowOff>121920</xdr:rowOff>
    </xdr:to>
    <xdr:sp macro="" textlink="">
      <xdr:nvSpPr>
        <xdr:cNvPr id="36" name="TextBox 35">
          <a:extLst>
            <a:ext uri="{FF2B5EF4-FFF2-40B4-BE49-F238E27FC236}">
              <a16:creationId xmlns:a16="http://schemas.microsoft.com/office/drawing/2014/main" id="{495482D0-5EBE-4133-8F08-AAA623A8412A}"/>
            </a:ext>
          </a:extLst>
        </xdr:cNvPr>
        <xdr:cNvSpPr txBox="1"/>
      </xdr:nvSpPr>
      <xdr:spPr>
        <a:xfrm>
          <a:off x="11879580" y="975360"/>
          <a:ext cx="762000" cy="426720"/>
        </a:xfrm>
        <a:prstGeom prst="rect">
          <a:avLst/>
        </a:prstGeom>
        <a:solidFill>
          <a:schemeClr val="lt1"/>
        </a:solidFill>
        <a:ln w="9525" cmpd="sng">
          <a:solidFill>
            <a:schemeClr val="lt1">
              <a:shade val="50000"/>
            </a:schemeClr>
          </a:solidFill>
        </a:ln>
        <a:scene3d>
          <a:camera prst="orthographicFront"/>
          <a:lightRig rig="threePt" dir="t">
            <a:rot lat="0" lon="0" rev="1800000"/>
          </a:lightRig>
        </a:scene3d>
        <a:sp3d extrusionH="101600">
          <a:bevelT w="114300"/>
          <a:bevelB w="1143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050" b="1">
              <a:solidFill>
                <a:srgbClr val="00B0F0"/>
              </a:solidFill>
            </a:rPr>
            <a:t>Training</a:t>
          </a:r>
          <a:r>
            <a:rPr lang="en-ZA" sz="1050" b="1" baseline="0">
              <a:solidFill>
                <a:srgbClr val="00B0F0"/>
              </a:solidFill>
            </a:rPr>
            <a:t> Hours</a:t>
          </a:r>
          <a:endParaRPr lang="en-ZA" sz="1050" b="1">
            <a:solidFill>
              <a:srgbClr val="00B0F0"/>
            </a:solidFill>
          </a:endParaRPr>
        </a:p>
      </xdr:txBody>
    </xdr:sp>
    <xdr:clientData/>
  </xdr:twoCellAnchor>
  <xdr:twoCellAnchor>
    <xdr:from>
      <xdr:col>8</xdr:col>
      <xdr:colOff>342900</xdr:colOff>
      <xdr:row>8</xdr:row>
      <xdr:rowOff>7620</xdr:rowOff>
    </xdr:from>
    <xdr:to>
      <xdr:col>12</xdr:col>
      <xdr:colOff>243840</xdr:colOff>
      <xdr:row>24</xdr:row>
      <xdr:rowOff>53340</xdr:rowOff>
    </xdr:to>
    <xdr:graphicFrame macro="">
      <xdr:nvGraphicFramePr>
        <xdr:cNvPr id="37" name="Chart 36">
          <a:extLst>
            <a:ext uri="{FF2B5EF4-FFF2-40B4-BE49-F238E27FC236}">
              <a16:creationId xmlns:a16="http://schemas.microsoft.com/office/drawing/2014/main" id="{5AFF5C04-6558-4DAF-BE8E-12418845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205740</xdr:colOff>
      <xdr:row>1</xdr:row>
      <xdr:rowOff>480060</xdr:rowOff>
    </xdr:from>
    <xdr:to>
      <xdr:col>11</xdr:col>
      <xdr:colOff>136140</xdr:colOff>
      <xdr:row>3</xdr:row>
      <xdr:rowOff>189480</xdr:rowOff>
    </xdr:to>
    <xdr:pic>
      <xdr:nvPicPr>
        <xdr:cNvPr id="27" name="Graphic 26" descr="Money outline">
          <a:extLst>
            <a:ext uri="{FF2B5EF4-FFF2-40B4-BE49-F238E27FC236}">
              <a16:creationId xmlns:a16="http://schemas.microsoft.com/office/drawing/2014/main" id="{A5F62933-F2C8-1451-F563-9E9EBE63B6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01740" y="662940"/>
          <a:ext cx="540000" cy="540000"/>
        </a:xfrm>
        <a:prstGeom prst="rect">
          <a:avLst/>
        </a:prstGeom>
      </xdr:spPr>
    </xdr:pic>
    <xdr:clientData/>
  </xdr:twoCellAnchor>
  <xdr:twoCellAnchor>
    <xdr:from>
      <xdr:col>12</xdr:col>
      <xdr:colOff>243840</xdr:colOff>
      <xdr:row>8</xdr:row>
      <xdr:rowOff>7620</xdr:rowOff>
    </xdr:from>
    <xdr:to>
      <xdr:col>18</xdr:col>
      <xdr:colOff>586740</xdr:colOff>
      <xdr:row>24</xdr:row>
      <xdr:rowOff>53340</xdr:rowOff>
    </xdr:to>
    <xdr:graphicFrame macro="">
      <xdr:nvGraphicFramePr>
        <xdr:cNvPr id="42" name="Chart 41">
          <a:extLst>
            <a:ext uri="{FF2B5EF4-FFF2-40B4-BE49-F238E27FC236}">
              <a16:creationId xmlns:a16="http://schemas.microsoft.com/office/drawing/2014/main" id="{B1263295-D70C-4B49-BDBA-1CBF0D21C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o" refreshedDate="46006.744340972225" createdVersion="8" refreshedVersion="8" minRefreshableVersion="3" recordCount="21" xr:uid="{56DA4BB1-75B9-422D-87DC-3306F323909C}">
  <cacheSource type="worksheet">
    <worksheetSource ref="A1:Q1048576" sheet="Sheet1"/>
  </cacheSource>
  <cacheFields count="20">
    <cacheField name="Employee ID" numFmtId="0">
      <sharedItems containsBlank="1" count="21">
        <s v="E001"/>
        <s v="E002"/>
        <s v="E003"/>
        <s v="E004"/>
        <s v="E005"/>
        <s v="E006"/>
        <s v="E007"/>
        <s v="E008"/>
        <s v="E009"/>
        <s v="E010"/>
        <s v="E011"/>
        <s v="E012"/>
        <s v="E013"/>
        <s v="E014"/>
        <s v="E015"/>
        <s v="E016"/>
        <s v="E017"/>
        <s v="E018"/>
        <s v="E019"/>
        <s v="E020"/>
        <m/>
      </sharedItems>
    </cacheField>
    <cacheField name="Full Name" numFmtId="0">
      <sharedItems containsBlank="1" count="21">
        <s v="John Smith"/>
        <s v="Jane Doe"/>
        <s v="Michael Johnson"/>
        <s v="Sarah Williams"/>
        <s v="David Lee"/>
        <s v="Amanda Garcia"/>
        <s v="James Wilson"/>
        <s v="Robert Chen"/>
        <s v="Lisa Brown"/>
        <s v="Tom Harris"/>
        <s v="Brian Taylor"/>
        <s v="Emily Clark"/>
        <s v="Kevin Martinez"/>
        <s v="Jennifer White"/>
        <s v="Mark Thompson"/>
        <s v="Sophia Lee"/>
        <s v="Daniel Kim Jr."/>
        <s v="Patricia Moore"/>
        <s v="Richard Davis"/>
        <s v="Michelle Lewis"/>
        <m/>
      </sharedItems>
    </cacheField>
    <cacheField name="Department" numFmtId="0">
      <sharedItems containsBlank="1" count="6">
        <s v="Sales"/>
        <s v="IT"/>
        <s v="Marketing"/>
        <s v="Finance"/>
        <s v="HR"/>
        <m/>
      </sharedItems>
    </cacheField>
    <cacheField name="Position" numFmtId="0">
      <sharedItems containsBlank="1" count="12">
        <s v="Sales Manager"/>
        <s v="Developer"/>
        <s v="Sales Representative"/>
        <s v="Coordinator"/>
        <s v="Senior Developer"/>
        <s v="Analyst"/>
        <s v="Vice President"/>
        <s v="Director"/>
        <s v="Specialist"/>
        <s v="Accountant"/>
        <s v="Manager"/>
        <m/>
      </sharedItems>
    </cacheField>
    <cacheField name="Salary" numFmtId="164">
      <sharedItems containsString="0" containsBlank="1" containsNumber="1" containsInteger="1" minValue="65000" maxValue="150000"/>
    </cacheField>
    <cacheField name="Hire Date" numFmtId="0">
      <sharedItems containsNonDate="0" containsDate="1" containsString="0" containsBlank="1" minDate="2015-08-17T00:00:00" maxDate="2023-03-01T00:00:00" count="21">
        <d v="2019-03-15T00:00:00"/>
        <d v="2020-07-22T00:00:00"/>
        <d v="2021-12-10T00:00:00"/>
        <d v="2022-01-15T00:00:00"/>
        <d v="2018-05-30T00:00:00"/>
        <d v="2021-11-03T00:00:00"/>
        <d v="2015-08-17T00:00:00"/>
        <d v="2017-04-12T00:00:00"/>
        <d v="2016-09-22T00:00:00"/>
        <d v="2017-11-30T00:00:00"/>
        <d v="2023-02-28T00:00:00"/>
        <d v="2022-06-14T00:00:00"/>
        <d v="2020-09-05T00:00:00"/>
        <d v="2019-12-10T00:00:00"/>
        <d v="2022-03-19T00:00:00"/>
        <d v="2020-04-25T00:00:00"/>
        <d v="2021-08-08T00:00:00"/>
        <d v="2023-01-30T00:00:00"/>
        <d v="2021-05-17T00:00:00"/>
        <d v="2022-09-12T00:00:00"/>
        <m/>
      </sharedItems>
      <fieldGroup par="19"/>
    </cacheField>
    <cacheField name="Location" numFmtId="0">
      <sharedItems containsBlank="1" count="6">
        <s v="New York"/>
        <s v="San Francisco"/>
        <s v="Chicago"/>
        <s v="Remote"/>
        <s v="Boston"/>
        <m/>
      </sharedItems>
    </cacheField>
    <cacheField name="Status" numFmtId="0">
      <sharedItems containsBlank="1" count="3">
        <s v="Active"/>
        <s v="Inactive"/>
        <m/>
      </sharedItems>
    </cacheField>
    <cacheField name="Manager" numFmtId="0">
      <sharedItems containsBlank="1" count="7">
        <s v="James Wilson"/>
        <s v="Robert Chen"/>
        <s v="John Smith"/>
        <s v="Lisa Brown"/>
        <s v="Tom Harris"/>
        <s v="CEO"/>
        <m/>
      </sharedItems>
    </cacheField>
    <cacheField name="Email" numFmtId="0">
      <sharedItems containsBlank="1" count="21">
        <s v="john.smith@company.com"/>
        <s v="jane.doe@company.com"/>
        <s v="michael.j@company.com"/>
        <s v="sarah.williams@company.com"/>
        <s v="david.lee@company.com"/>
        <s v="amanda.g@company.com"/>
        <s v="james.wilson@company.com"/>
        <s v="robert.chen@company.com"/>
        <s v="lisa.brown@company.com"/>
        <s v="tom.h@company.com"/>
        <s v="brian.t@company.com"/>
        <s v="emily.clark@company.com"/>
        <s v="kevin.m@company.com"/>
        <s v="j.white@company.com"/>
        <s v="mark.t@company.com"/>
        <s v="sophia.lee@company.com"/>
        <s v="daniel.kim@company.com"/>
        <s v="patricia.m@company.com"/>
        <s v="richard.d@company.com"/>
        <s v="m.lewis@company.com"/>
        <m/>
      </sharedItems>
    </cacheField>
    <cacheField name="Phone" numFmtId="0">
      <sharedItems containsString="0" containsBlank="1" containsNumber="1" containsInteger="1" minValue="5550001" maxValue="6175555555"/>
    </cacheField>
    <cacheField name="Performance Rating" numFmtId="0">
      <sharedItems containsBlank="1" count="18">
        <s v="4.5"/>
        <s v="3.8"/>
        <s v="4.2"/>
        <s v="3.5"/>
        <s v="4.7"/>
        <s v="3.9"/>
        <s v="4.8"/>
        <s v="4.6"/>
        <s v="4.4"/>
        <s v="4.3"/>
        <s v="3.2"/>
        <s v="3.7"/>
        <s v="3.6"/>
        <s v="4.1"/>
        <s v="3.4"/>
        <s v="4.0"/>
        <s v="3.3"/>
        <m/>
      </sharedItems>
    </cacheField>
    <cacheField name="Projects Completed" numFmtId="0">
      <sharedItems containsString="0" containsBlank="1" containsNumber="1" containsInteger="1" minValue="3" maxValue="30"/>
    </cacheField>
    <cacheField name="Training Hours" numFmtId="0">
      <sharedItems containsString="0" containsBlank="1" containsNumber="1" containsInteger="1" minValue="20" maxValue="75"/>
    </cacheField>
    <cacheField name="Bonus %" numFmtId="0">
      <sharedItems containsString="0" containsBlank="1" containsNumber="1" containsInteger="1" minValue="5" maxValue="25"/>
    </cacheField>
    <cacheField name="Tenure (Years)" numFmtId="0">
      <sharedItems containsBlank="1"/>
    </cacheField>
    <cacheField name="Notes" numFmtId="0">
      <sharedItems containsBlank="1"/>
    </cacheField>
    <cacheField name="Months (Hire Date)" numFmtId="0" databaseField="0">
      <fieldGroup base="5">
        <rangePr groupBy="months" startDate="2015-08-17T00:00:00" endDate="2023-03-01T00:00:00"/>
        <groupItems count="14">
          <s v="&lt;2015/08/17"/>
          <s v="Jan"/>
          <s v="Feb"/>
          <s v="Mar"/>
          <s v="Apr"/>
          <s v="May"/>
          <s v="Jun"/>
          <s v="Jul"/>
          <s v="Aug"/>
          <s v="Sept"/>
          <s v="Oct"/>
          <s v="Nov"/>
          <s v="Dec"/>
          <s v="&gt;2023/03/01"/>
        </groupItems>
      </fieldGroup>
    </cacheField>
    <cacheField name="Quarters (Hire Date)" numFmtId="0" databaseField="0">
      <fieldGroup base="5">
        <rangePr groupBy="quarters" startDate="2015-08-17T00:00:00" endDate="2023-03-01T00:00:00"/>
        <groupItems count="6">
          <s v="&lt;2015/08/17"/>
          <s v="Qtr1"/>
          <s v="Qtr2"/>
          <s v="Qtr3"/>
          <s v="Qtr4"/>
          <s v="&gt;2023/03/01"/>
        </groupItems>
      </fieldGroup>
    </cacheField>
    <cacheField name="Years (Hire Date)" numFmtId="0" databaseField="0">
      <fieldGroup base="5">
        <rangePr groupBy="years" startDate="2015-08-17T00:00:00" endDate="2023-03-01T00:00:00"/>
        <groupItems count="11">
          <s v="&lt;2015/08/17"/>
          <s v="2015"/>
          <s v="2016"/>
          <s v="2017"/>
          <s v="2018"/>
          <s v="2019"/>
          <s v="2020"/>
          <s v="2021"/>
          <s v="2022"/>
          <s v="2023"/>
          <s v="&gt;2023/03/01"/>
        </groupItems>
      </fieldGroup>
    </cacheField>
  </cacheFields>
  <extLst>
    <ext xmlns:x14="http://schemas.microsoft.com/office/spreadsheetml/2009/9/main" uri="{725AE2AE-9491-48be-B2B4-4EB974FC3084}">
      <x14:pivotCacheDefinition pivotCacheId="161025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n v="95000"/>
    <x v="0"/>
    <x v="0"/>
    <x v="0"/>
    <x v="0"/>
    <x v="0"/>
    <n v="5551234"/>
    <x v="0"/>
    <n v="12"/>
    <n v="40"/>
    <n v="15"/>
    <s v="5.8"/>
    <s v="Top performer"/>
  </r>
  <r>
    <x v="1"/>
    <x v="1"/>
    <x v="1"/>
    <x v="1"/>
    <n v="85000"/>
    <x v="1"/>
    <x v="1"/>
    <x v="0"/>
    <x v="1"/>
    <x v="1"/>
    <n v="4155559876"/>
    <x v="1"/>
    <n v="8"/>
    <n v="32"/>
    <n v="10"/>
    <s v="3.4"/>
    <m/>
  </r>
  <r>
    <x v="2"/>
    <x v="2"/>
    <x v="0"/>
    <x v="2"/>
    <n v="72000"/>
    <x v="2"/>
    <x v="0"/>
    <x v="0"/>
    <x v="2"/>
    <x v="2"/>
    <n v="2125554567"/>
    <x v="2"/>
    <n v="15"/>
    <n v="25"/>
    <n v="12"/>
    <s v="2.0"/>
    <m/>
  </r>
  <r>
    <x v="3"/>
    <x v="3"/>
    <x v="2"/>
    <x v="3"/>
    <n v="68000"/>
    <x v="3"/>
    <x v="2"/>
    <x v="0"/>
    <x v="3"/>
    <x v="3"/>
    <n v="3125557890"/>
    <x v="3"/>
    <n v="6"/>
    <n v="45"/>
    <n v="8"/>
    <s v="2.9"/>
    <m/>
  </r>
  <r>
    <x v="4"/>
    <x v="4"/>
    <x v="1"/>
    <x v="4"/>
    <n v="110000"/>
    <x v="4"/>
    <x v="3"/>
    <x v="0"/>
    <x v="1"/>
    <x v="4"/>
    <m/>
    <x v="4"/>
    <n v="22"/>
    <n v="60"/>
    <n v="20"/>
    <s v="5.6"/>
    <s v="Works remotely"/>
  </r>
  <r>
    <x v="5"/>
    <x v="5"/>
    <x v="3"/>
    <x v="5"/>
    <n v="75500"/>
    <x v="5"/>
    <x v="4"/>
    <x v="0"/>
    <x v="4"/>
    <x v="5"/>
    <n v="6175552345"/>
    <x v="5"/>
    <n v="9"/>
    <n v="38"/>
    <n v="9"/>
    <s v="2.2"/>
    <m/>
  </r>
  <r>
    <x v="6"/>
    <x v="6"/>
    <x v="0"/>
    <x v="6"/>
    <n v="150000"/>
    <x v="6"/>
    <x v="0"/>
    <x v="0"/>
    <x v="5"/>
    <x v="6"/>
    <n v="5550001"/>
    <x v="6"/>
    <n v="30"/>
    <n v="75"/>
    <n v="25"/>
    <s v="8.3"/>
    <s v="Department head"/>
  </r>
  <r>
    <x v="7"/>
    <x v="7"/>
    <x v="1"/>
    <x v="7"/>
    <n v="135000"/>
    <x v="7"/>
    <x v="1"/>
    <x v="0"/>
    <x v="0"/>
    <x v="7"/>
    <n v="4155551111"/>
    <x v="7"/>
    <n v="25"/>
    <n v="50"/>
    <n v="22"/>
    <s v="6.7"/>
    <m/>
  </r>
  <r>
    <x v="8"/>
    <x v="8"/>
    <x v="2"/>
    <x v="7"/>
    <n v="125000"/>
    <x v="8"/>
    <x v="2"/>
    <x v="0"/>
    <x v="0"/>
    <x v="8"/>
    <n v="3125552222"/>
    <x v="8"/>
    <n v="20"/>
    <n v="55"/>
    <n v="18"/>
    <s v="7.2"/>
    <m/>
  </r>
  <r>
    <x v="9"/>
    <x v="9"/>
    <x v="3"/>
    <x v="7"/>
    <n v="130000"/>
    <x v="9"/>
    <x v="4"/>
    <x v="0"/>
    <x v="0"/>
    <x v="9"/>
    <n v="6175553333"/>
    <x v="9"/>
    <n v="18"/>
    <n v="48"/>
    <n v="20"/>
    <s v="6.0"/>
    <m/>
  </r>
  <r>
    <x v="10"/>
    <x v="10"/>
    <x v="0"/>
    <x v="2"/>
    <n v="70000"/>
    <x v="10"/>
    <x v="0"/>
    <x v="0"/>
    <x v="2"/>
    <x v="10"/>
    <n v="5557777"/>
    <x v="10"/>
    <n v="4"/>
    <n v="20"/>
    <n v="5"/>
    <s v="0.9"/>
    <s v="New hire"/>
  </r>
  <r>
    <x v="11"/>
    <x v="11"/>
    <x v="2"/>
    <x v="8"/>
    <n v="65000"/>
    <x v="11"/>
    <x v="2"/>
    <x v="0"/>
    <x v="3"/>
    <x v="11"/>
    <n v="3125554444"/>
    <x v="11"/>
    <n v="7"/>
    <n v="42"/>
    <n v="7"/>
    <s v="1.5"/>
    <m/>
  </r>
  <r>
    <x v="12"/>
    <x v="12"/>
    <x v="3"/>
    <x v="9"/>
    <n v="70000"/>
    <x v="12"/>
    <x v="4"/>
    <x v="0"/>
    <x v="4"/>
    <x v="12"/>
    <n v="6175555555"/>
    <x v="12"/>
    <n v="10"/>
    <n v="35"/>
    <n v="8"/>
    <s v="3.3"/>
    <m/>
  </r>
  <r>
    <x v="13"/>
    <x v="13"/>
    <x v="1"/>
    <x v="1"/>
    <n v="90000"/>
    <x v="13"/>
    <x v="1"/>
    <x v="0"/>
    <x v="1"/>
    <x v="13"/>
    <n v="4155556666"/>
    <x v="13"/>
    <n v="14"/>
    <n v="40"/>
    <n v="12"/>
    <s v="4.0"/>
    <m/>
  </r>
  <r>
    <x v="14"/>
    <x v="14"/>
    <x v="0"/>
    <x v="2"/>
    <n v="68000"/>
    <x v="14"/>
    <x v="0"/>
    <x v="0"/>
    <x v="2"/>
    <x v="14"/>
    <n v="5558888"/>
    <x v="14"/>
    <n v="5"/>
    <n v="28"/>
    <n v="6"/>
    <s v="1.8"/>
    <m/>
  </r>
  <r>
    <x v="15"/>
    <x v="15"/>
    <x v="4"/>
    <x v="10"/>
    <n v="82000"/>
    <x v="15"/>
    <x v="2"/>
    <x v="1"/>
    <x v="0"/>
    <x v="15"/>
    <n v="3125557777"/>
    <x v="15"/>
    <n v="11"/>
    <n v="50"/>
    <n v="10"/>
    <s v="2.8"/>
    <s v="Left company 2023"/>
  </r>
  <r>
    <x v="16"/>
    <x v="16"/>
    <x v="1"/>
    <x v="1"/>
    <n v="88000"/>
    <x v="16"/>
    <x v="3"/>
    <x v="0"/>
    <x v="1"/>
    <x v="16"/>
    <m/>
    <x v="9"/>
    <n v="13"/>
    <n v="45"/>
    <n v="14"/>
    <s v="2.4"/>
    <m/>
  </r>
  <r>
    <x v="17"/>
    <x v="17"/>
    <x v="2"/>
    <x v="3"/>
    <n v="66000"/>
    <x v="17"/>
    <x v="2"/>
    <x v="0"/>
    <x v="3"/>
    <x v="17"/>
    <n v="3125558888"/>
    <x v="16"/>
    <n v="3"/>
    <n v="30"/>
    <n v="5"/>
    <s v="1.0"/>
    <m/>
  </r>
  <r>
    <x v="18"/>
    <x v="18"/>
    <x v="0"/>
    <x v="2"/>
    <n v="71000"/>
    <x v="18"/>
    <x v="0"/>
    <x v="0"/>
    <x v="2"/>
    <x v="18"/>
    <n v="5559999"/>
    <x v="1"/>
    <n v="9"/>
    <n v="32"/>
    <n v="9"/>
    <s v="2.6"/>
    <m/>
  </r>
  <r>
    <x v="19"/>
    <x v="19"/>
    <x v="3"/>
    <x v="5"/>
    <n v="74000"/>
    <x v="19"/>
    <x v="4"/>
    <x v="0"/>
    <x v="4"/>
    <x v="19"/>
    <n v="6175550000"/>
    <x v="5"/>
    <n v="8"/>
    <n v="40"/>
    <n v="10"/>
    <s v="1.3"/>
    <m/>
  </r>
  <r>
    <x v="20"/>
    <x v="20"/>
    <x v="5"/>
    <x v="11"/>
    <m/>
    <x v="20"/>
    <x v="5"/>
    <x v="2"/>
    <x v="6"/>
    <x v="20"/>
    <m/>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12466-62F2-4A6D-BDDE-595FA92EBA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N4:O25" firstHeaderRow="1" firstDataRow="1" firstDataCol="1"/>
  <pivotFields count="20">
    <pivotField showAll="0"/>
    <pivotField showAll="0">
      <items count="22">
        <item x="5"/>
        <item x="10"/>
        <item x="16"/>
        <item x="4"/>
        <item x="11"/>
        <item x="6"/>
        <item x="1"/>
        <item x="13"/>
        <item x="0"/>
        <item x="12"/>
        <item x="8"/>
        <item x="14"/>
        <item x="2"/>
        <item x="19"/>
        <item x="17"/>
        <item x="18"/>
        <item x="7"/>
        <item x="3"/>
        <item x="15"/>
        <item x="9"/>
        <item x="20"/>
        <item t="default"/>
      </items>
    </pivotField>
    <pivotField axis="axisRow" showAll="0">
      <items count="7">
        <item x="3"/>
        <item x="4"/>
        <item x="1"/>
        <item x="2"/>
        <item x="0"/>
        <item x="5"/>
        <item t="default"/>
      </items>
    </pivotField>
    <pivotField axis="axisRow" showAll="0">
      <items count="13">
        <item x="9"/>
        <item x="5"/>
        <item x="3"/>
        <item x="1"/>
        <item x="7"/>
        <item x="10"/>
        <item x="0"/>
        <item x="2"/>
        <item x="4"/>
        <item x="8"/>
        <item x="6"/>
        <item x="11"/>
        <item t="default"/>
      </items>
    </pivotField>
    <pivotField showAll="0"/>
    <pivotField showAll="0">
      <items count="22">
        <item x="6"/>
        <item x="8"/>
        <item x="7"/>
        <item x="9"/>
        <item x="4"/>
        <item x="0"/>
        <item x="13"/>
        <item x="15"/>
        <item x="1"/>
        <item x="12"/>
        <item x="18"/>
        <item x="16"/>
        <item x="5"/>
        <item x="2"/>
        <item x="3"/>
        <item x="14"/>
        <item x="11"/>
        <item x="19"/>
        <item x="17"/>
        <item x="10"/>
        <item x="20"/>
        <item t="default"/>
      </items>
    </pivotField>
    <pivotField showAll="0"/>
    <pivotField showAll="0"/>
    <pivotField showAll="0"/>
    <pivotField showAll="0"/>
    <pivotField showAll="0"/>
    <pivotField dataField="1" showAll="0">
      <items count="19">
        <item x="10"/>
        <item x="16"/>
        <item x="14"/>
        <item x="3"/>
        <item x="12"/>
        <item x="11"/>
        <item x="1"/>
        <item x="5"/>
        <item x="15"/>
        <item x="13"/>
        <item x="2"/>
        <item x="9"/>
        <item x="8"/>
        <item x="0"/>
        <item x="7"/>
        <item x="4"/>
        <item x="6"/>
        <item x="1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2"/>
    <field x="3"/>
  </rowFields>
  <rowItems count="21">
    <i>
      <x/>
    </i>
    <i r="1">
      <x/>
    </i>
    <i r="1">
      <x v="1"/>
    </i>
    <i r="1">
      <x v="4"/>
    </i>
    <i>
      <x v="1"/>
    </i>
    <i r="1">
      <x v="5"/>
    </i>
    <i>
      <x v="2"/>
    </i>
    <i r="1">
      <x v="3"/>
    </i>
    <i r="1">
      <x v="4"/>
    </i>
    <i r="1">
      <x v="8"/>
    </i>
    <i>
      <x v="3"/>
    </i>
    <i r="1">
      <x v="2"/>
    </i>
    <i r="1">
      <x v="4"/>
    </i>
    <i r="1">
      <x v="9"/>
    </i>
    <i>
      <x v="4"/>
    </i>
    <i r="1">
      <x v="6"/>
    </i>
    <i r="1">
      <x v="7"/>
    </i>
    <i r="1">
      <x v="10"/>
    </i>
    <i>
      <x v="5"/>
    </i>
    <i r="1">
      <x v="11"/>
    </i>
    <i t="grand">
      <x/>
    </i>
  </rowItems>
  <colItems count="1">
    <i/>
  </colItems>
  <dataFields count="1">
    <dataField name="Count of Performance Rating" fld="11"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2" count="1" selected="0">
            <x v="0"/>
          </reference>
        </references>
      </pivotArea>
    </chartFormat>
    <chartFormat chart="2" format="15">
      <pivotArea type="data" outline="0" fieldPosition="0">
        <references count="2">
          <reference field="4294967294" count="1" selected="0">
            <x v="0"/>
          </reference>
          <reference field="2" count="1" selected="0">
            <x v="1"/>
          </reference>
        </references>
      </pivotArea>
    </chartFormat>
    <chartFormat chart="2" format="16">
      <pivotArea type="data" outline="0" fieldPosition="0">
        <references count="2">
          <reference field="4294967294" count="1" selected="0">
            <x v="0"/>
          </reference>
          <reference field="2" count="1" selected="0">
            <x v="2"/>
          </reference>
        </references>
      </pivotArea>
    </chartFormat>
    <chartFormat chart="2" format="17">
      <pivotArea type="data" outline="0" fieldPosition="0">
        <references count="2">
          <reference field="4294967294" count="1" selected="0">
            <x v="0"/>
          </reference>
          <reference field="2" count="1" selected="0">
            <x v="3"/>
          </reference>
        </references>
      </pivotArea>
    </chartFormat>
    <chartFormat chart="2" format="18">
      <pivotArea type="data" outline="0" fieldPosition="0">
        <references count="2">
          <reference field="4294967294" count="1" selected="0">
            <x v="0"/>
          </reference>
          <reference field="2" count="1" selected="0">
            <x v="4"/>
          </reference>
        </references>
      </pivotArea>
    </chartFormat>
    <chartFormat chart="2" format="1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5AA641-FAAC-4860-A974-E2714035AA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13:B19" firstHeaderRow="1" firstDataRow="1" firstDataCol="1"/>
  <pivotFields count="20">
    <pivotField showAll="0"/>
    <pivotField showAll="0">
      <items count="22">
        <item x="5"/>
        <item x="10"/>
        <item x="16"/>
        <item x="4"/>
        <item x="11"/>
        <item x="6"/>
        <item x="1"/>
        <item x="13"/>
        <item x="0"/>
        <item x="12"/>
        <item x="8"/>
        <item x="14"/>
        <item x="2"/>
        <item x="19"/>
        <item x="17"/>
        <item x="18"/>
        <item x="7"/>
        <item x="3"/>
        <item x="15"/>
        <item x="9"/>
        <item x="20"/>
        <item t="default"/>
      </items>
    </pivotField>
    <pivotField axis="axisRow" showAll="0">
      <items count="7">
        <item x="3"/>
        <item x="4"/>
        <item x="1"/>
        <item x="2"/>
        <item x="0"/>
        <item h="1" x="5"/>
        <item t="default"/>
      </items>
    </pivotField>
    <pivotField showAll="0"/>
    <pivotField showAll="0"/>
    <pivotField showAll="0">
      <items count="22">
        <item x="6"/>
        <item x="8"/>
        <item x="7"/>
        <item x="9"/>
        <item x="4"/>
        <item x="0"/>
        <item x="13"/>
        <item x="15"/>
        <item x="1"/>
        <item x="12"/>
        <item x="18"/>
        <item x="16"/>
        <item x="5"/>
        <item x="2"/>
        <item x="3"/>
        <item x="14"/>
        <item x="11"/>
        <item x="19"/>
        <item x="17"/>
        <item x="10"/>
        <item x="20"/>
        <item t="default"/>
      </items>
    </pivotField>
    <pivotField showAll="0"/>
    <pivotField showAll="0"/>
    <pivotField showAll="0"/>
    <pivotField showAll="0"/>
    <pivotField showAll="0"/>
    <pivotField dataField="1" showAll="0">
      <items count="19">
        <item x="10"/>
        <item x="16"/>
        <item x="14"/>
        <item x="3"/>
        <item x="12"/>
        <item x="11"/>
        <item x="1"/>
        <item x="5"/>
        <item x="15"/>
        <item x="13"/>
        <item x="2"/>
        <item x="9"/>
        <item x="8"/>
        <item x="0"/>
        <item x="7"/>
        <item x="4"/>
        <item x="6"/>
        <item x="1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6">
    <i>
      <x/>
    </i>
    <i>
      <x v="1"/>
    </i>
    <i>
      <x v="2"/>
    </i>
    <i>
      <x v="3"/>
    </i>
    <i>
      <x v="4"/>
    </i>
    <i t="grand">
      <x/>
    </i>
  </rowItems>
  <colItems count="1">
    <i/>
  </colItems>
  <dataFields count="1">
    <dataField name="Count of Performance Rating" fld="11" subtotal="count"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2" count="1" selected="0">
            <x v="0"/>
          </reference>
        </references>
      </pivotArea>
    </chartFormat>
    <chartFormat chart="2" format="15">
      <pivotArea type="data" outline="0" fieldPosition="0">
        <references count="2">
          <reference field="4294967294" count="1" selected="0">
            <x v="0"/>
          </reference>
          <reference field="2" count="1" selected="0">
            <x v="1"/>
          </reference>
        </references>
      </pivotArea>
    </chartFormat>
    <chartFormat chart="2" format="16">
      <pivotArea type="data" outline="0" fieldPosition="0">
        <references count="2">
          <reference field="4294967294" count="1" selected="0">
            <x v="0"/>
          </reference>
          <reference field="2" count="1" selected="0">
            <x v="2"/>
          </reference>
        </references>
      </pivotArea>
    </chartFormat>
    <chartFormat chart="2" format="17">
      <pivotArea type="data" outline="0" fieldPosition="0">
        <references count="2">
          <reference field="4294967294" count="1" selected="0">
            <x v="0"/>
          </reference>
          <reference field="2" count="1" selected="0">
            <x v="3"/>
          </reference>
        </references>
      </pivotArea>
    </chartFormat>
    <chartFormat chart="2" format="18">
      <pivotArea type="data" outline="0" fieldPosition="0">
        <references count="2">
          <reference field="4294967294" count="1" selected="0">
            <x v="0"/>
          </reference>
          <reference field="2" count="1" selected="0">
            <x v="4"/>
          </reference>
        </references>
      </pivotArea>
    </chartFormat>
    <chartFormat chart="2" format="1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275284-C973-4B1D-BA8F-FACA20612C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mployee">
  <location ref="J3:K5" firstHeaderRow="1" firstDataRow="1" firstDataCol="1"/>
  <pivotFields count="20">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22">
        <item h="1" x="5"/>
        <item h="1" x="10"/>
        <item x="16"/>
        <item h="1" x="4"/>
        <item h="1" x="11"/>
        <item h="1" x="6"/>
        <item h="1" x="1"/>
        <item h="1" x="13"/>
        <item h="1" x="0"/>
        <item h="1" x="12"/>
        <item h="1" x="8"/>
        <item h="1" x="14"/>
        <item h="1" x="2"/>
        <item h="1" x="19"/>
        <item h="1" x="17"/>
        <item h="1" x="18"/>
        <item h="1" x="7"/>
        <item h="1" x="3"/>
        <item h="1" x="15"/>
        <item h="1" x="9"/>
        <item h="1" x="20"/>
        <item t="default"/>
      </items>
    </pivotField>
    <pivotField showAll="0">
      <items count="7">
        <item x="3"/>
        <item x="4"/>
        <item x="1"/>
        <item x="2"/>
        <item x="0"/>
        <item x="5"/>
        <item t="default"/>
      </items>
    </pivotField>
    <pivotField showAll="0">
      <items count="13">
        <item x="9"/>
        <item x="5"/>
        <item x="3"/>
        <item x="1"/>
        <item x="7"/>
        <item x="10"/>
        <item x="0"/>
        <item x="2"/>
        <item x="4"/>
        <item x="8"/>
        <item x="6"/>
        <item x="11"/>
        <item t="default"/>
      </items>
    </pivotField>
    <pivotField showAll="0"/>
    <pivotField showAll="0">
      <items count="22">
        <item x="6"/>
        <item x="8"/>
        <item x="7"/>
        <item x="9"/>
        <item x="4"/>
        <item x="0"/>
        <item x="13"/>
        <item x="15"/>
        <item x="1"/>
        <item x="12"/>
        <item x="18"/>
        <item x="16"/>
        <item x="5"/>
        <item x="2"/>
        <item x="3"/>
        <item x="14"/>
        <item x="11"/>
        <item x="19"/>
        <item x="17"/>
        <item x="10"/>
        <item x="20"/>
        <item t="default"/>
      </items>
    </pivotField>
    <pivotField showAll="0">
      <items count="7">
        <item x="4"/>
        <item x="2"/>
        <item x="0"/>
        <item x="3"/>
        <item x="1"/>
        <item x="5"/>
        <item t="default"/>
      </items>
    </pivotField>
    <pivotField showAll="0"/>
    <pivotField showAll="0">
      <items count="8">
        <item x="5"/>
        <item x="0"/>
        <item x="2"/>
        <item x="3"/>
        <item x="1"/>
        <item x="4"/>
        <item x="6"/>
        <item t="default"/>
      </items>
    </pivotField>
    <pivotField showAll="0"/>
    <pivotField showAll="0"/>
    <pivotField showAll="0">
      <items count="19">
        <item x="10"/>
        <item x="16"/>
        <item x="14"/>
        <item x="3"/>
        <item x="12"/>
        <item x="11"/>
        <item x="1"/>
        <item x="5"/>
        <item x="15"/>
        <item x="13"/>
        <item x="2"/>
        <item x="9"/>
        <item x="8"/>
        <item x="0"/>
        <item x="7"/>
        <item x="4"/>
        <item x="6"/>
        <item x="17"/>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2">
    <i>
      <x v="2"/>
    </i>
    <i t="grand">
      <x/>
    </i>
  </rowItems>
  <colItems count="1">
    <i/>
  </colItems>
  <dataFields count="1">
    <dataField name="Sum of Training Hours" fld="13" baseField="0" baseItem="0"/>
  </dataFields>
  <chartFormats count="5">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F17C9-A4BA-4D2A-B065-21B4D2E0CD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mployee">
  <location ref="D3:E24" firstHeaderRow="1" firstDataRow="1" firstDataCol="1"/>
  <pivotFields count="20">
    <pivotField showAll="0"/>
    <pivotField axis="axisRow" showAll="0">
      <items count="22">
        <item x="5"/>
        <item x="10"/>
        <item x="16"/>
        <item x="4"/>
        <item x="11"/>
        <item x="6"/>
        <item x="1"/>
        <item x="13"/>
        <item x="0"/>
        <item x="12"/>
        <item x="8"/>
        <item x="14"/>
        <item x="2"/>
        <item x="19"/>
        <item x="17"/>
        <item x="18"/>
        <item x="7"/>
        <item x="3"/>
        <item x="15"/>
        <item x="9"/>
        <item h="1" x="20"/>
        <item t="default"/>
      </items>
    </pivotField>
    <pivotField showAll="0">
      <items count="7">
        <item x="3"/>
        <item x="4"/>
        <item x="1"/>
        <item x="2"/>
        <item x="0"/>
        <item x="5"/>
        <item t="default"/>
      </items>
    </pivotField>
    <pivotField showAll="0"/>
    <pivotField dataField="1" showAll="0"/>
    <pivotField showAll="0">
      <items count="22">
        <item x="6"/>
        <item x="8"/>
        <item x="7"/>
        <item x="9"/>
        <item x="4"/>
        <item x="0"/>
        <item x="13"/>
        <item x="15"/>
        <item x="1"/>
        <item x="12"/>
        <item x="18"/>
        <item x="16"/>
        <item x="5"/>
        <item x="2"/>
        <item x="3"/>
        <item x="14"/>
        <item x="11"/>
        <item x="19"/>
        <item x="17"/>
        <item x="10"/>
        <item x="20"/>
        <item t="default"/>
      </items>
    </pivotField>
    <pivotField showAll="0"/>
    <pivotField showAll="0"/>
    <pivotField showAll="0"/>
    <pivotField showAll="0"/>
    <pivotField showAll="0"/>
    <pivotField showAll="0">
      <items count="19">
        <item x="10"/>
        <item x="16"/>
        <item x="14"/>
        <item x="3"/>
        <item x="12"/>
        <item x="11"/>
        <item x="1"/>
        <item x="5"/>
        <item x="15"/>
        <item x="13"/>
        <item x="2"/>
        <item x="9"/>
        <item x="8"/>
        <item x="0"/>
        <item x="7"/>
        <item x="4"/>
        <item x="6"/>
        <item x="17"/>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ar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1B525C-02C1-43FF-893A-0A1BA95EFC87}"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Q4:R8" firstHeaderRow="1" firstDataRow="1" firstDataCol="1"/>
  <pivotFields count="20">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5"/>
        <item x="10"/>
        <item x="16"/>
        <item x="4"/>
        <item x="11"/>
        <item x="6"/>
        <item x="1"/>
        <item x="13"/>
        <item x="0"/>
        <item x="12"/>
        <item x="8"/>
        <item x="14"/>
        <item x="2"/>
        <item x="19"/>
        <item x="17"/>
        <item x="18"/>
        <item x="7"/>
        <item x="3"/>
        <item x="15"/>
        <item x="9"/>
        <item x="20"/>
        <item t="default"/>
      </items>
    </pivotField>
    <pivotField showAll="0">
      <items count="7">
        <item x="3"/>
        <item x="4"/>
        <item x="1"/>
        <item x="2"/>
        <item x="0"/>
        <item x="5"/>
        <item t="default"/>
      </items>
    </pivotField>
    <pivotField showAll="0">
      <items count="13">
        <item x="9"/>
        <item x="5"/>
        <item x="3"/>
        <item x="1"/>
        <item x="7"/>
        <item x="10"/>
        <item x="0"/>
        <item x="2"/>
        <item x="4"/>
        <item x="8"/>
        <item x="6"/>
        <item x="11"/>
        <item t="default"/>
      </items>
    </pivotField>
    <pivotField dataField="1" showAll="0"/>
    <pivotField showAll="0">
      <items count="22">
        <item x="6"/>
        <item x="8"/>
        <item x="7"/>
        <item x="9"/>
        <item x="4"/>
        <item x="0"/>
        <item x="13"/>
        <item x="15"/>
        <item x="1"/>
        <item x="12"/>
        <item x="18"/>
        <item x="16"/>
        <item x="5"/>
        <item x="2"/>
        <item x="3"/>
        <item x="14"/>
        <item x="11"/>
        <item x="19"/>
        <item x="17"/>
        <item x="10"/>
        <item x="20"/>
        <item t="default"/>
      </items>
    </pivotField>
    <pivotField showAll="0">
      <items count="7">
        <item x="4"/>
        <item x="2"/>
        <item x="0"/>
        <item x="3"/>
        <item x="1"/>
        <item x="5"/>
        <item t="default"/>
      </items>
    </pivotField>
    <pivotField showAll="0">
      <items count="4">
        <item x="0"/>
        <item x="1"/>
        <item x="2"/>
        <item t="default"/>
      </items>
    </pivotField>
    <pivotField showAll="0">
      <items count="8">
        <item x="5"/>
        <item x="0"/>
        <item x="2"/>
        <item x="3"/>
        <item x="1"/>
        <item x="4"/>
        <item x="6"/>
        <item t="default"/>
      </items>
    </pivotField>
    <pivotField showAll="0">
      <items count="22">
        <item x="5"/>
        <item x="10"/>
        <item x="16"/>
        <item x="4"/>
        <item x="11"/>
        <item x="13"/>
        <item x="6"/>
        <item x="1"/>
        <item x="0"/>
        <item x="12"/>
        <item x="8"/>
        <item x="19"/>
        <item x="14"/>
        <item x="2"/>
        <item x="17"/>
        <item x="18"/>
        <item x="7"/>
        <item x="3"/>
        <item x="15"/>
        <item x="9"/>
        <item x="20"/>
        <item t="default"/>
      </items>
    </pivotField>
    <pivotField showAll="0"/>
    <pivotField showAll="0">
      <items count="19">
        <item x="10"/>
        <item x="16"/>
        <item x="14"/>
        <item x="3"/>
        <item x="12"/>
        <item x="11"/>
        <item x="1"/>
        <item x="5"/>
        <item x="15"/>
        <item x="13"/>
        <item x="2"/>
        <item x="9"/>
        <item x="8"/>
        <item x="0"/>
        <item x="7"/>
        <item x="4"/>
        <item x="6"/>
        <item x="17"/>
        <item t="default"/>
      </items>
    </pivotField>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2"/>
  </rowFields>
  <rowItems count="4">
    <i>
      <x/>
    </i>
    <i i="1">
      <x v="1"/>
    </i>
    <i i="2">
      <x v="2"/>
    </i>
    <i i="3">
      <x v="3"/>
    </i>
  </rowItems>
  <colItems count="1">
    <i/>
  </colItems>
  <dataFields count="4">
    <dataField name="Sum of Salary" fld="4" baseField="0" baseItem="0"/>
    <dataField name="Sum of Projects Completed" fld="12" baseField="0" baseItem="0"/>
    <dataField name="Sum of Bonus %" fld="14" baseField="0" baseItem="0"/>
    <dataField name="Sum of Training Hour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05C1D121-D90A-41B5-A67A-75C295E06F77}" sourceName="Full Name">
  <pivotTables>
    <pivotTable tabId="3" name="PivotTable4"/>
  </pivotTables>
  <data>
    <tabular pivotCacheId="1610252132">
      <items count="21">
        <i x="5"/>
        <i x="10"/>
        <i x="16" s="1"/>
        <i x="4"/>
        <i x="11"/>
        <i x="6"/>
        <i x="1"/>
        <i x="13"/>
        <i x="0"/>
        <i x="12"/>
        <i x="8"/>
        <i x="14"/>
        <i x="2"/>
        <i x="19"/>
        <i x="17"/>
        <i x="18"/>
        <i x="7"/>
        <i x="3"/>
        <i x="15"/>
        <i x="9"/>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5D1C9C-A6E2-4D21-9F6A-1DAD807E129F}" sourceName="Department">
  <pivotTables>
    <pivotTable tabId="3" name="PivotTable4"/>
  </pivotTables>
  <data>
    <tabular pivotCacheId="1610252132">
      <items count="6">
        <i x="1" s="1"/>
        <i x="3" s="1" nd="1"/>
        <i x="4" s="1" nd="1"/>
        <i x="2" s="1" nd="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A6A53E6-0C2E-4C26-B581-122865ED8BD5}" sourceName="Location">
  <pivotTables>
    <pivotTable tabId="3" name="PivotTable4"/>
  </pivotTables>
  <data>
    <tabular pivotCacheId="1610252132">
      <items count="6">
        <i x="3" s="1"/>
        <i x="4" s="1" nd="1"/>
        <i x="2" s="1" nd="1"/>
        <i x="0" s="1" nd="1"/>
        <i x="1"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1" xr10:uid="{D40A4AEE-FF5E-4A89-94D4-A9D344EB5F17}" cache="Slicer_Full_Name" caption="Full Name" startItem="5" rowHeight="247650"/>
  <slicer name="Department 1" xr10:uid="{33377338-5ED6-49AA-A3A2-979156618333}" cache="Slicer_Department" caption="Department" rowHeight="247650"/>
  <slicer name="Location 1" xr10:uid="{4A315614-10A0-484F-AC9D-2BD9E326B6A2}" cache="Slicer_Location" caption="Location" startItem="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BE9A-CA7C-4ADF-B89D-66CD95B95CC1}">
  <dimension ref="A3:R25"/>
  <sheetViews>
    <sheetView topLeftCell="G3" workbookViewId="0">
      <selection activeCell="R6" sqref="R6"/>
    </sheetView>
  </sheetViews>
  <sheetFormatPr defaultRowHeight="14.4" x14ac:dyDescent="0.3"/>
  <cols>
    <col min="1" max="1" width="13.21875" bestFit="1" customWidth="1"/>
    <col min="2" max="3" width="24.6640625" bestFit="1" customWidth="1"/>
    <col min="4" max="4" width="14.33203125" bestFit="1" customWidth="1"/>
    <col min="5" max="5" width="12.21875" bestFit="1" customWidth="1"/>
    <col min="6" max="6" width="15.5546875" bestFit="1" customWidth="1"/>
    <col min="7" max="7" width="14.33203125" bestFit="1" customWidth="1"/>
    <col min="8" max="9" width="14" bestFit="1" customWidth="1"/>
    <col min="10" max="10" width="11.6640625" bestFit="1" customWidth="1"/>
    <col min="11" max="11" width="19" bestFit="1" customWidth="1"/>
    <col min="12" max="12" width="14" bestFit="1" customWidth="1"/>
    <col min="13" max="13" width="15.5546875" bestFit="1" customWidth="1"/>
    <col min="14" max="14" width="21" bestFit="1" customWidth="1"/>
    <col min="15" max="15" width="24.6640625" bestFit="1" customWidth="1"/>
    <col min="16" max="16" width="15.5546875" bestFit="1" customWidth="1"/>
    <col min="17" max="17" width="22.88671875" bestFit="1" customWidth="1"/>
    <col min="18" max="18" width="8" bestFit="1" customWidth="1"/>
    <col min="19" max="19" width="14" bestFit="1" customWidth="1"/>
    <col min="20" max="21" width="19" bestFit="1" customWidth="1"/>
  </cols>
  <sheetData>
    <row r="3" spans="1:18" x14ac:dyDescent="0.3">
      <c r="D3" s="7" t="s">
        <v>145</v>
      </c>
      <c r="E3" t="s">
        <v>144</v>
      </c>
      <c r="J3" s="7" t="s">
        <v>145</v>
      </c>
      <c r="K3" t="s">
        <v>148</v>
      </c>
    </row>
    <row r="4" spans="1:18" x14ac:dyDescent="0.3">
      <c r="D4" s="8" t="s">
        <v>61</v>
      </c>
      <c r="E4">
        <v>75500</v>
      </c>
      <c r="J4" s="8" t="s">
        <v>124</v>
      </c>
      <c r="K4" s="10">
        <v>45</v>
      </c>
      <c r="N4" s="7" t="s">
        <v>2</v>
      </c>
      <c r="O4" t="s">
        <v>143</v>
      </c>
      <c r="Q4" s="7" t="s">
        <v>149</v>
      </c>
    </row>
    <row r="5" spans="1:18" x14ac:dyDescent="0.3">
      <c r="D5" s="8" t="s">
        <v>90</v>
      </c>
      <c r="E5">
        <v>70000</v>
      </c>
      <c r="J5" s="8" t="s">
        <v>142</v>
      </c>
      <c r="K5" s="10">
        <v>45</v>
      </c>
      <c r="N5" s="8" t="s">
        <v>62</v>
      </c>
      <c r="O5">
        <v>4</v>
      </c>
      <c r="Q5" s="8" t="s">
        <v>144</v>
      </c>
      <c r="R5">
        <v>1789500</v>
      </c>
    </row>
    <row r="6" spans="1:18" x14ac:dyDescent="0.3">
      <c r="D6" s="8" t="s">
        <v>124</v>
      </c>
      <c r="E6">
        <v>88000</v>
      </c>
      <c r="N6" s="9" t="s">
        <v>103</v>
      </c>
      <c r="O6">
        <v>1</v>
      </c>
      <c r="Q6" s="8" t="s">
        <v>147</v>
      </c>
      <c r="R6">
        <v>249</v>
      </c>
    </row>
    <row r="7" spans="1:18" x14ac:dyDescent="0.3">
      <c r="D7" s="8" t="s">
        <v>53</v>
      </c>
      <c r="E7">
        <v>110000</v>
      </c>
      <c r="N7" s="9" t="s">
        <v>63</v>
      </c>
      <c r="O7">
        <v>2</v>
      </c>
      <c r="Q7" s="8" t="s">
        <v>146</v>
      </c>
      <c r="R7">
        <v>245</v>
      </c>
    </row>
    <row r="8" spans="1:18" x14ac:dyDescent="0.3">
      <c r="D8" s="8" t="s">
        <v>96</v>
      </c>
      <c r="E8">
        <v>65000</v>
      </c>
      <c r="N8" s="9" t="s">
        <v>77</v>
      </c>
      <c r="O8">
        <v>1</v>
      </c>
      <c r="Q8" s="8" t="s">
        <v>148</v>
      </c>
      <c r="R8">
        <v>830</v>
      </c>
    </row>
    <row r="9" spans="1:18" x14ac:dyDescent="0.3">
      <c r="D9" s="8" t="s">
        <v>23</v>
      </c>
      <c r="E9">
        <v>150000</v>
      </c>
      <c r="N9" s="8" t="s">
        <v>118</v>
      </c>
      <c r="O9">
        <v>1</v>
      </c>
    </row>
    <row r="10" spans="1:18" x14ac:dyDescent="0.3">
      <c r="D10" s="8" t="s">
        <v>29</v>
      </c>
      <c r="E10">
        <v>85000</v>
      </c>
      <c r="N10" s="9" t="s">
        <v>8</v>
      </c>
      <c r="O10">
        <v>1</v>
      </c>
    </row>
    <row r="11" spans="1:18" x14ac:dyDescent="0.3">
      <c r="D11" s="8" t="s">
        <v>108</v>
      </c>
      <c r="E11">
        <v>90000</v>
      </c>
      <c r="N11" s="8" t="s">
        <v>30</v>
      </c>
      <c r="O11">
        <v>5</v>
      </c>
    </row>
    <row r="12" spans="1:18" x14ac:dyDescent="0.3">
      <c r="D12" s="8" t="s">
        <v>18</v>
      </c>
      <c r="E12">
        <v>95000</v>
      </c>
      <c r="N12" s="9" t="s">
        <v>31</v>
      </c>
      <c r="O12">
        <v>3</v>
      </c>
    </row>
    <row r="13" spans="1:18" x14ac:dyDescent="0.3">
      <c r="A13" s="7" t="s">
        <v>2</v>
      </c>
      <c r="B13" t="s">
        <v>143</v>
      </c>
      <c r="D13" s="8" t="s">
        <v>102</v>
      </c>
      <c r="E13">
        <v>70000</v>
      </c>
      <c r="N13" s="9" t="s">
        <v>77</v>
      </c>
      <c r="O13">
        <v>1</v>
      </c>
    </row>
    <row r="14" spans="1:18" x14ac:dyDescent="0.3">
      <c r="A14" s="8" t="s">
        <v>62</v>
      </c>
      <c r="B14">
        <v>4</v>
      </c>
      <c r="D14" s="8" t="s">
        <v>48</v>
      </c>
      <c r="E14">
        <v>125000</v>
      </c>
      <c r="N14" s="9" t="s">
        <v>54</v>
      </c>
      <c r="O14">
        <v>1</v>
      </c>
    </row>
    <row r="15" spans="1:18" x14ac:dyDescent="0.3">
      <c r="A15" s="8" t="s">
        <v>118</v>
      </c>
      <c r="B15">
        <v>1</v>
      </c>
      <c r="D15" s="8" t="s">
        <v>113</v>
      </c>
      <c r="E15">
        <v>68000</v>
      </c>
      <c r="N15" s="8" t="s">
        <v>45</v>
      </c>
      <c r="O15">
        <v>4</v>
      </c>
    </row>
    <row r="16" spans="1:18" x14ac:dyDescent="0.3">
      <c r="A16" s="8" t="s">
        <v>30</v>
      </c>
      <c r="B16">
        <v>5</v>
      </c>
      <c r="D16" s="8" t="s">
        <v>38</v>
      </c>
      <c r="E16">
        <v>72000</v>
      </c>
      <c r="N16" s="9" t="s">
        <v>46</v>
      </c>
      <c r="O16">
        <v>2</v>
      </c>
    </row>
    <row r="17" spans="1:15" x14ac:dyDescent="0.3">
      <c r="A17" s="8" t="s">
        <v>45</v>
      </c>
      <c r="B17">
        <v>4</v>
      </c>
      <c r="D17" s="8" t="s">
        <v>136</v>
      </c>
      <c r="E17">
        <v>74000</v>
      </c>
      <c r="N17" s="9" t="s">
        <v>77</v>
      </c>
      <c r="O17">
        <v>1</v>
      </c>
    </row>
    <row r="18" spans="1:15" x14ac:dyDescent="0.3">
      <c r="A18" s="8" t="s">
        <v>19</v>
      </c>
      <c r="B18">
        <v>6</v>
      </c>
      <c r="D18" s="8" t="s">
        <v>128</v>
      </c>
      <c r="E18">
        <v>66000</v>
      </c>
      <c r="N18" s="9" t="s">
        <v>97</v>
      </c>
      <c r="O18">
        <v>1</v>
      </c>
    </row>
    <row r="19" spans="1:15" x14ac:dyDescent="0.3">
      <c r="A19" s="8" t="s">
        <v>142</v>
      </c>
      <c r="B19">
        <v>20</v>
      </c>
      <c r="D19" s="8" t="s">
        <v>132</v>
      </c>
      <c r="E19">
        <v>71000</v>
      </c>
      <c r="N19" s="8" t="s">
        <v>19</v>
      </c>
      <c r="O19">
        <v>6</v>
      </c>
    </row>
    <row r="20" spans="1:15" x14ac:dyDescent="0.3">
      <c r="D20" s="8" t="s">
        <v>33</v>
      </c>
      <c r="E20">
        <v>135000</v>
      </c>
      <c r="N20" s="9" t="s">
        <v>20</v>
      </c>
      <c r="O20">
        <v>1</v>
      </c>
    </row>
    <row r="21" spans="1:15" x14ac:dyDescent="0.3">
      <c r="D21" s="8" t="s">
        <v>44</v>
      </c>
      <c r="E21">
        <v>68000</v>
      </c>
      <c r="N21" s="9" t="s">
        <v>39</v>
      </c>
      <c r="O21">
        <v>4</v>
      </c>
    </row>
    <row r="22" spans="1:15" x14ac:dyDescent="0.3">
      <c r="D22" s="8" t="s">
        <v>117</v>
      </c>
      <c r="E22">
        <v>82000</v>
      </c>
      <c r="N22" s="9" t="s">
        <v>70</v>
      </c>
      <c r="O22">
        <v>1</v>
      </c>
    </row>
    <row r="23" spans="1:15" x14ac:dyDescent="0.3">
      <c r="D23" s="8" t="s">
        <v>65</v>
      </c>
      <c r="E23">
        <v>130000</v>
      </c>
      <c r="N23" s="8" t="s">
        <v>141</v>
      </c>
    </row>
    <row r="24" spans="1:15" x14ac:dyDescent="0.3">
      <c r="D24" s="8" t="s">
        <v>142</v>
      </c>
      <c r="E24">
        <v>1789500</v>
      </c>
      <c r="N24" s="9" t="s">
        <v>141</v>
      </c>
    </row>
    <row r="25" spans="1:15" x14ac:dyDescent="0.3">
      <c r="N25" s="8" t="s">
        <v>142</v>
      </c>
      <c r="O25">
        <v>20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DCEF-A5F2-4682-BF99-4E4FA4FD92EE}">
  <dimension ref="A1:Q21"/>
  <sheetViews>
    <sheetView topLeftCell="D1" workbookViewId="0">
      <selection activeCell="D1" sqref="A1:XFD1048576"/>
    </sheetView>
  </sheetViews>
  <sheetFormatPr defaultRowHeight="14.4" x14ac:dyDescent="0.3"/>
  <cols>
    <col min="1" max="1" width="10.77734375" bestFit="1" customWidth="1"/>
    <col min="2" max="2" width="14.33203125" bestFit="1" customWidth="1"/>
    <col min="3" max="3" width="10.5546875" bestFit="1" customWidth="1"/>
    <col min="4" max="4" width="17.88671875" bestFit="1" customWidth="1"/>
    <col min="5" max="5" width="12.33203125" style="2" bestFit="1" customWidth="1"/>
    <col min="6" max="6" width="10.33203125" bestFit="1" customWidth="1"/>
    <col min="9" max="9" width="11.88671875" bestFit="1" customWidth="1"/>
    <col min="10" max="10" width="26.21875" bestFit="1" customWidth="1"/>
    <col min="11" max="11" width="11" bestFit="1" customWidth="1"/>
    <col min="12" max="12" width="17" bestFit="1" customWidth="1"/>
    <col min="13" max="13" width="16.88671875" bestFit="1" customWidth="1"/>
    <col min="14" max="14" width="12.5546875" bestFit="1" customWidth="1"/>
    <col min="16" max="16" width="12.5546875" bestFit="1" customWidth="1"/>
    <col min="17" max="17" width="16.109375" bestFit="1" customWidth="1"/>
  </cols>
  <sheetData>
    <row r="1" spans="1:17" x14ac:dyDescent="0.3">
      <c r="A1" t="s">
        <v>0</v>
      </c>
      <c r="B1" t="s">
        <v>1</v>
      </c>
      <c r="C1" t="s">
        <v>2</v>
      </c>
      <c r="D1" t="s">
        <v>3</v>
      </c>
      <c r="E1" s="2"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s="2">
        <v>95000</v>
      </c>
      <c r="F2" s="1">
        <v>43539</v>
      </c>
      <c r="G2" t="s">
        <v>21</v>
      </c>
      <c r="H2" t="s">
        <v>22</v>
      </c>
      <c r="I2" t="s">
        <v>23</v>
      </c>
      <c r="J2" t="s">
        <v>24</v>
      </c>
      <c r="K2">
        <v>5551234</v>
      </c>
      <c r="L2" t="s">
        <v>25</v>
      </c>
      <c r="M2">
        <v>12</v>
      </c>
      <c r="N2">
        <v>40</v>
      </c>
      <c r="O2">
        <v>15</v>
      </c>
      <c r="P2" t="s">
        <v>26</v>
      </c>
      <c r="Q2" t="s">
        <v>27</v>
      </c>
    </row>
    <row r="3" spans="1:17" x14ac:dyDescent="0.3">
      <c r="A3" t="s">
        <v>28</v>
      </c>
      <c r="B3" t="s">
        <v>29</v>
      </c>
      <c r="C3" t="s">
        <v>30</v>
      </c>
      <c r="D3" t="s">
        <v>31</v>
      </c>
      <c r="E3" s="2">
        <v>85000</v>
      </c>
      <c r="F3" s="1">
        <v>44034</v>
      </c>
      <c r="G3" t="s">
        <v>32</v>
      </c>
      <c r="H3" t="s">
        <v>22</v>
      </c>
      <c r="I3" t="s">
        <v>33</v>
      </c>
      <c r="J3" t="s">
        <v>34</v>
      </c>
      <c r="K3">
        <v>4155559876</v>
      </c>
      <c r="L3" t="s">
        <v>35</v>
      </c>
      <c r="M3">
        <v>8</v>
      </c>
      <c r="N3">
        <v>32</v>
      </c>
      <c r="O3">
        <v>10</v>
      </c>
      <c r="P3" t="s">
        <v>36</v>
      </c>
    </row>
    <row r="4" spans="1:17" x14ac:dyDescent="0.3">
      <c r="A4" t="s">
        <v>37</v>
      </c>
      <c r="B4" t="s">
        <v>38</v>
      </c>
      <c r="C4" t="s">
        <v>19</v>
      </c>
      <c r="D4" t="s">
        <v>39</v>
      </c>
      <c r="E4" s="2">
        <v>72000</v>
      </c>
      <c r="F4" s="1">
        <v>44540</v>
      </c>
      <c r="G4" t="s">
        <v>21</v>
      </c>
      <c r="H4" t="s">
        <v>22</v>
      </c>
      <c r="I4" t="s">
        <v>18</v>
      </c>
      <c r="J4" t="s">
        <v>40</v>
      </c>
      <c r="K4">
        <v>2125554567</v>
      </c>
      <c r="L4" t="s">
        <v>41</v>
      </c>
      <c r="M4">
        <v>15</v>
      </c>
      <c r="N4">
        <v>25</v>
      </c>
      <c r="O4">
        <v>12</v>
      </c>
      <c r="P4" t="s">
        <v>42</v>
      </c>
    </row>
    <row r="5" spans="1:17" x14ac:dyDescent="0.3">
      <c r="A5" t="s">
        <v>43</v>
      </c>
      <c r="B5" t="s">
        <v>44</v>
      </c>
      <c r="C5" t="s">
        <v>45</v>
      </c>
      <c r="D5" t="s">
        <v>46</v>
      </c>
      <c r="E5" s="2">
        <v>68000</v>
      </c>
      <c r="F5" s="1">
        <v>44576</v>
      </c>
      <c r="G5" t="s">
        <v>47</v>
      </c>
      <c r="H5" t="s">
        <v>22</v>
      </c>
      <c r="I5" t="s">
        <v>48</v>
      </c>
      <c r="J5" t="s">
        <v>49</v>
      </c>
      <c r="K5">
        <v>3125557890</v>
      </c>
      <c r="L5" t="s">
        <v>50</v>
      </c>
      <c r="M5">
        <v>6</v>
      </c>
      <c r="N5">
        <v>45</v>
      </c>
      <c r="O5">
        <v>8</v>
      </c>
      <c r="P5" t="s">
        <v>51</v>
      </c>
    </row>
    <row r="6" spans="1:17" x14ac:dyDescent="0.3">
      <c r="A6" t="s">
        <v>52</v>
      </c>
      <c r="B6" t="s">
        <v>53</v>
      </c>
      <c r="C6" t="s">
        <v>30</v>
      </c>
      <c r="D6" t="s">
        <v>54</v>
      </c>
      <c r="E6" s="2">
        <v>110000</v>
      </c>
      <c r="F6" s="1">
        <v>43250</v>
      </c>
      <c r="G6" t="s">
        <v>55</v>
      </c>
      <c r="H6" t="s">
        <v>22</v>
      </c>
      <c r="I6" t="s">
        <v>33</v>
      </c>
      <c r="J6" t="s">
        <v>56</v>
      </c>
      <c r="L6" t="s">
        <v>57</v>
      </c>
      <c r="M6">
        <v>22</v>
      </c>
      <c r="N6">
        <v>60</v>
      </c>
      <c r="O6">
        <v>20</v>
      </c>
      <c r="P6" t="s">
        <v>58</v>
      </c>
      <c r="Q6" t="s">
        <v>59</v>
      </c>
    </row>
    <row r="7" spans="1:17" x14ac:dyDescent="0.3">
      <c r="A7" t="s">
        <v>60</v>
      </c>
      <c r="B7" t="s">
        <v>61</v>
      </c>
      <c r="C7" t="s">
        <v>62</v>
      </c>
      <c r="D7" t="s">
        <v>63</v>
      </c>
      <c r="E7" s="2">
        <v>75500</v>
      </c>
      <c r="F7" s="1">
        <v>44503</v>
      </c>
      <c r="G7" t="s">
        <v>64</v>
      </c>
      <c r="H7" t="s">
        <v>22</v>
      </c>
      <c r="I7" t="s">
        <v>65</v>
      </c>
      <c r="J7" t="s">
        <v>66</v>
      </c>
      <c r="K7">
        <v>6175552345</v>
      </c>
      <c r="L7" t="s">
        <v>67</v>
      </c>
      <c r="M7">
        <v>9</v>
      </c>
      <c r="N7">
        <v>38</v>
      </c>
      <c r="O7">
        <v>9</v>
      </c>
      <c r="P7" t="s">
        <v>68</v>
      </c>
    </row>
    <row r="8" spans="1:17" x14ac:dyDescent="0.3">
      <c r="A8" t="s">
        <v>69</v>
      </c>
      <c r="B8" t="s">
        <v>23</v>
      </c>
      <c r="C8" t="s">
        <v>19</v>
      </c>
      <c r="D8" t="s">
        <v>70</v>
      </c>
      <c r="E8" s="2">
        <v>150000</v>
      </c>
      <c r="F8" s="1">
        <v>42233</v>
      </c>
      <c r="G8" t="s">
        <v>21</v>
      </c>
      <c r="H8" t="s">
        <v>22</v>
      </c>
      <c r="I8" t="s">
        <v>71</v>
      </c>
      <c r="J8" t="s">
        <v>72</v>
      </c>
      <c r="K8">
        <v>5550001</v>
      </c>
      <c r="L8" t="s">
        <v>73</v>
      </c>
      <c r="M8">
        <v>30</v>
      </c>
      <c r="N8">
        <v>75</v>
      </c>
      <c r="O8">
        <v>25</v>
      </c>
      <c r="P8" t="s">
        <v>74</v>
      </c>
      <c r="Q8" t="s">
        <v>75</v>
      </c>
    </row>
    <row r="9" spans="1:17" x14ac:dyDescent="0.3">
      <c r="A9" t="s">
        <v>76</v>
      </c>
      <c r="B9" t="s">
        <v>33</v>
      </c>
      <c r="C9" t="s">
        <v>30</v>
      </c>
      <c r="D9" t="s">
        <v>77</v>
      </c>
      <c r="E9" s="2">
        <v>135000</v>
      </c>
      <c r="F9" s="1">
        <v>42837</v>
      </c>
      <c r="G9" t="s">
        <v>32</v>
      </c>
      <c r="H9" t="s">
        <v>22</v>
      </c>
      <c r="I9" t="s">
        <v>23</v>
      </c>
      <c r="J9" t="s">
        <v>78</v>
      </c>
      <c r="K9">
        <v>4155551111</v>
      </c>
      <c r="L9" t="s">
        <v>79</v>
      </c>
      <c r="M9">
        <v>25</v>
      </c>
      <c r="N9">
        <v>50</v>
      </c>
      <c r="O9">
        <v>22</v>
      </c>
      <c r="P9" t="s">
        <v>80</v>
      </c>
    </row>
    <row r="10" spans="1:17" x14ac:dyDescent="0.3">
      <c r="A10" t="s">
        <v>81</v>
      </c>
      <c r="B10" t="s">
        <v>48</v>
      </c>
      <c r="C10" t="s">
        <v>45</v>
      </c>
      <c r="D10" t="s">
        <v>77</v>
      </c>
      <c r="E10" s="2">
        <v>125000</v>
      </c>
      <c r="F10" s="1">
        <v>42635</v>
      </c>
      <c r="G10" t="s">
        <v>47</v>
      </c>
      <c r="H10" t="s">
        <v>22</v>
      </c>
      <c r="I10" t="s">
        <v>23</v>
      </c>
      <c r="J10" t="s">
        <v>82</v>
      </c>
      <c r="K10">
        <v>3125552222</v>
      </c>
      <c r="L10" t="s">
        <v>83</v>
      </c>
      <c r="M10">
        <v>20</v>
      </c>
      <c r="N10">
        <v>55</v>
      </c>
      <c r="O10">
        <v>18</v>
      </c>
      <c r="P10" t="s">
        <v>84</v>
      </c>
    </row>
    <row r="11" spans="1:17" x14ac:dyDescent="0.3">
      <c r="A11" t="s">
        <v>85</v>
      </c>
      <c r="B11" t="s">
        <v>65</v>
      </c>
      <c r="C11" t="s">
        <v>62</v>
      </c>
      <c r="D11" t="s">
        <v>77</v>
      </c>
      <c r="E11" s="2">
        <v>130000</v>
      </c>
      <c r="F11" s="1">
        <v>43069</v>
      </c>
      <c r="G11" t="s">
        <v>64</v>
      </c>
      <c r="H11" t="s">
        <v>22</v>
      </c>
      <c r="I11" t="s">
        <v>23</v>
      </c>
      <c r="J11" t="s">
        <v>86</v>
      </c>
      <c r="K11">
        <v>6175553333</v>
      </c>
      <c r="L11" t="s">
        <v>87</v>
      </c>
      <c r="M11">
        <v>18</v>
      </c>
      <c r="N11">
        <v>48</v>
      </c>
      <c r="O11">
        <v>20</v>
      </c>
      <c r="P11" t="s">
        <v>88</v>
      </c>
    </row>
    <row r="12" spans="1:17" x14ac:dyDescent="0.3">
      <c r="A12" t="s">
        <v>89</v>
      </c>
      <c r="B12" t="s">
        <v>90</v>
      </c>
      <c r="C12" t="s">
        <v>19</v>
      </c>
      <c r="D12" t="s">
        <v>39</v>
      </c>
      <c r="E12" s="2">
        <v>70000</v>
      </c>
      <c r="F12" s="1">
        <v>44985</v>
      </c>
      <c r="G12" t="s">
        <v>21</v>
      </c>
      <c r="H12" t="s">
        <v>22</v>
      </c>
      <c r="I12" t="s">
        <v>18</v>
      </c>
      <c r="J12" t="s">
        <v>91</v>
      </c>
      <c r="K12">
        <v>5557777</v>
      </c>
      <c r="L12" t="s">
        <v>92</v>
      </c>
      <c r="M12">
        <v>4</v>
      </c>
      <c r="N12">
        <v>20</v>
      </c>
      <c r="O12">
        <v>5</v>
      </c>
      <c r="P12" t="s">
        <v>93</v>
      </c>
      <c r="Q12" t="s">
        <v>94</v>
      </c>
    </row>
    <row r="13" spans="1:17" x14ac:dyDescent="0.3">
      <c r="A13" t="s">
        <v>95</v>
      </c>
      <c r="B13" t="s">
        <v>96</v>
      </c>
      <c r="C13" t="s">
        <v>45</v>
      </c>
      <c r="D13" t="s">
        <v>97</v>
      </c>
      <c r="E13" s="2">
        <v>65000</v>
      </c>
      <c r="F13" s="1">
        <v>44726</v>
      </c>
      <c r="G13" t="s">
        <v>47</v>
      </c>
      <c r="H13" t="s">
        <v>22</v>
      </c>
      <c r="I13" t="s">
        <v>48</v>
      </c>
      <c r="J13" t="s">
        <v>98</v>
      </c>
      <c r="K13">
        <v>3125554444</v>
      </c>
      <c r="L13" t="s">
        <v>99</v>
      </c>
      <c r="M13">
        <v>7</v>
      </c>
      <c r="N13">
        <v>42</v>
      </c>
      <c r="O13">
        <v>7</v>
      </c>
      <c r="P13" t="s">
        <v>100</v>
      </c>
    </row>
    <row r="14" spans="1:17" x14ac:dyDescent="0.3">
      <c r="A14" t="s">
        <v>101</v>
      </c>
      <c r="B14" t="s">
        <v>102</v>
      </c>
      <c r="C14" t="s">
        <v>62</v>
      </c>
      <c r="D14" t="s">
        <v>103</v>
      </c>
      <c r="E14" s="2">
        <v>70000</v>
      </c>
      <c r="F14" s="1">
        <v>44079</v>
      </c>
      <c r="G14" t="s">
        <v>64</v>
      </c>
      <c r="H14" t="s">
        <v>22</v>
      </c>
      <c r="I14" t="s">
        <v>65</v>
      </c>
      <c r="J14" t="s">
        <v>104</v>
      </c>
      <c r="K14">
        <v>6175555555</v>
      </c>
      <c r="L14" t="s">
        <v>105</v>
      </c>
      <c r="M14">
        <v>10</v>
      </c>
      <c r="N14">
        <v>35</v>
      </c>
      <c r="O14">
        <v>8</v>
      </c>
      <c r="P14" t="s">
        <v>106</v>
      </c>
    </row>
    <row r="15" spans="1:17" x14ac:dyDescent="0.3">
      <c r="A15" t="s">
        <v>107</v>
      </c>
      <c r="B15" t="s">
        <v>108</v>
      </c>
      <c r="C15" t="s">
        <v>30</v>
      </c>
      <c r="D15" t="s">
        <v>31</v>
      </c>
      <c r="E15" s="2">
        <v>90000</v>
      </c>
      <c r="F15" s="1">
        <v>43809</v>
      </c>
      <c r="G15" t="s">
        <v>32</v>
      </c>
      <c r="H15" t="s">
        <v>22</v>
      </c>
      <c r="I15" t="s">
        <v>33</v>
      </c>
      <c r="J15" t="s">
        <v>109</v>
      </c>
      <c r="K15">
        <v>4155556666</v>
      </c>
      <c r="L15" t="s">
        <v>110</v>
      </c>
      <c r="M15">
        <v>14</v>
      </c>
      <c r="N15">
        <v>40</v>
      </c>
      <c r="O15">
        <v>12</v>
      </c>
      <c r="P15" t="s">
        <v>111</v>
      </c>
    </row>
    <row r="16" spans="1:17" x14ac:dyDescent="0.3">
      <c r="A16" t="s">
        <v>112</v>
      </c>
      <c r="B16" t="s">
        <v>113</v>
      </c>
      <c r="C16" t="s">
        <v>19</v>
      </c>
      <c r="D16" t="s">
        <v>39</v>
      </c>
      <c r="E16" s="2">
        <v>68000</v>
      </c>
      <c r="F16" s="1">
        <v>44639</v>
      </c>
      <c r="G16" t="s">
        <v>21</v>
      </c>
      <c r="H16" t="s">
        <v>22</v>
      </c>
      <c r="I16" t="s">
        <v>18</v>
      </c>
      <c r="J16" t="s">
        <v>114</v>
      </c>
      <c r="K16">
        <v>5558888</v>
      </c>
      <c r="L16" t="s">
        <v>36</v>
      </c>
      <c r="M16">
        <v>5</v>
      </c>
      <c r="N16">
        <v>28</v>
      </c>
      <c r="O16">
        <v>6</v>
      </c>
      <c r="P16" t="s">
        <v>115</v>
      </c>
    </row>
    <row r="17" spans="1:17" x14ac:dyDescent="0.3">
      <c r="A17" t="s">
        <v>116</v>
      </c>
      <c r="B17" t="s">
        <v>117</v>
      </c>
      <c r="C17" t="s">
        <v>118</v>
      </c>
      <c r="D17" t="s">
        <v>8</v>
      </c>
      <c r="E17" s="2">
        <v>82000</v>
      </c>
      <c r="F17" s="1">
        <v>43946</v>
      </c>
      <c r="G17" t="s">
        <v>47</v>
      </c>
      <c r="H17" t="s">
        <v>119</v>
      </c>
      <c r="I17" t="s">
        <v>23</v>
      </c>
      <c r="J17" t="s">
        <v>120</v>
      </c>
      <c r="K17">
        <v>3125557777</v>
      </c>
      <c r="L17" t="s">
        <v>111</v>
      </c>
      <c r="M17">
        <v>11</v>
      </c>
      <c r="N17">
        <v>50</v>
      </c>
      <c r="O17">
        <v>10</v>
      </c>
      <c r="P17" t="s">
        <v>121</v>
      </c>
      <c r="Q17" t="s">
        <v>122</v>
      </c>
    </row>
    <row r="18" spans="1:17" x14ac:dyDescent="0.3">
      <c r="A18" t="s">
        <v>123</v>
      </c>
      <c r="B18" t="s">
        <v>124</v>
      </c>
      <c r="C18" t="s">
        <v>30</v>
      </c>
      <c r="D18" t="s">
        <v>31</v>
      </c>
      <c r="E18" s="2">
        <v>88000</v>
      </c>
      <c r="F18" s="1">
        <v>44416</v>
      </c>
      <c r="G18" t="s">
        <v>55</v>
      </c>
      <c r="H18" t="s">
        <v>22</v>
      </c>
      <c r="I18" t="s">
        <v>33</v>
      </c>
      <c r="J18" t="s">
        <v>125</v>
      </c>
      <c r="L18" t="s">
        <v>87</v>
      </c>
      <c r="M18">
        <v>13</v>
      </c>
      <c r="N18">
        <v>45</v>
      </c>
      <c r="O18">
        <v>14</v>
      </c>
      <c r="P18" t="s">
        <v>126</v>
      </c>
    </row>
    <row r="19" spans="1:17" x14ac:dyDescent="0.3">
      <c r="A19" t="s">
        <v>127</v>
      </c>
      <c r="B19" t="s">
        <v>128</v>
      </c>
      <c r="C19" t="s">
        <v>45</v>
      </c>
      <c r="D19" t="s">
        <v>46</v>
      </c>
      <c r="E19" s="2">
        <v>66000</v>
      </c>
      <c r="F19" s="1">
        <v>44956</v>
      </c>
      <c r="G19" t="s">
        <v>47</v>
      </c>
      <c r="H19" t="s">
        <v>22</v>
      </c>
      <c r="I19" t="s">
        <v>48</v>
      </c>
      <c r="J19" t="s">
        <v>129</v>
      </c>
      <c r="K19">
        <v>3125558888</v>
      </c>
      <c r="L19" t="s">
        <v>106</v>
      </c>
      <c r="M19">
        <v>3</v>
      </c>
      <c r="N19">
        <v>30</v>
      </c>
      <c r="O19">
        <v>5</v>
      </c>
      <c r="P19" t="s">
        <v>130</v>
      </c>
    </row>
    <row r="20" spans="1:17" x14ac:dyDescent="0.3">
      <c r="A20" t="s">
        <v>131</v>
      </c>
      <c r="B20" t="s">
        <v>132</v>
      </c>
      <c r="C20" t="s">
        <v>19</v>
      </c>
      <c r="D20" t="s">
        <v>39</v>
      </c>
      <c r="E20" s="2">
        <v>71000</v>
      </c>
      <c r="F20" s="1">
        <v>44333</v>
      </c>
      <c r="G20" t="s">
        <v>21</v>
      </c>
      <c r="H20" t="s">
        <v>22</v>
      </c>
      <c r="I20" t="s">
        <v>18</v>
      </c>
      <c r="J20" t="s">
        <v>133</v>
      </c>
      <c r="K20">
        <v>5559999</v>
      </c>
      <c r="L20" t="s">
        <v>35</v>
      </c>
      <c r="M20">
        <v>9</v>
      </c>
      <c r="N20">
        <v>32</v>
      </c>
      <c r="O20">
        <v>9</v>
      </c>
      <c r="P20" t="s">
        <v>134</v>
      </c>
    </row>
    <row r="21" spans="1:17" x14ac:dyDescent="0.3">
      <c r="A21" t="s">
        <v>135</v>
      </c>
      <c r="B21" t="s">
        <v>136</v>
      </c>
      <c r="C21" t="s">
        <v>62</v>
      </c>
      <c r="D21" t="s">
        <v>63</v>
      </c>
      <c r="E21" s="2">
        <v>74000</v>
      </c>
      <c r="F21" s="1">
        <v>44816</v>
      </c>
      <c r="G21" t="s">
        <v>64</v>
      </c>
      <c r="H21" t="s">
        <v>22</v>
      </c>
      <c r="I21" t="s">
        <v>65</v>
      </c>
      <c r="J21" t="s">
        <v>137</v>
      </c>
      <c r="K21">
        <v>6175550000</v>
      </c>
      <c r="L21" t="s">
        <v>67</v>
      </c>
      <c r="M21">
        <v>8</v>
      </c>
      <c r="N21">
        <v>40</v>
      </c>
      <c r="O21">
        <v>10</v>
      </c>
      <c r="P21"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4F57-FBB4-4CE8-975F-814B8BC020D9}">
  <dimension ref="B1:D40"/>
  <sheetViews>
    <sheetView tabSelected="1" workbookViewId="0">
      <selection activeCell="H6" sqref="H6"/>
    </sheetView>
  </sheetViews>
  <sheetFormatPr defaultRowHeight="14.4" x14ac:dyDescent="0.3"/>
  <sheetData>
    <row r="1" spans="2:4" s="3" customFormat="1" x14ac:dyDescent="0.3"/>
    <row r="2" spans="2:4" s="3" customFormat="1" ht="44.4" x14ac:dyDescent="0.7">
      <c r="B2" s="6" t="s">
        <v>139</v>
      </c>
    </row>
    <row r="3" spans="2:4" s="3" customFormat="1" ht="21" x14ac:dyDescent="0.4">
      <c r="B3" s="5" t="s">
        <v>140</v>
      </c>
      <c r="C3" s="5"/>
      <c r="D3" s="5"/>
    </row>
    <row r="4" spans="2:4" s="3" customFormat="1" ht="21" x14ac:dyDescent="0.4">
      <c r="B4" s="5"/>
      <c r="C4" s="5"/>
      <c r="D4" s="5"/>
    </row>
    <row r="5" spans="2:4" s="3" customFormat="1" x14ac:dyDescent="0.3"/>
    <row r="6" spans="2:4" s="3" customFormat="1" x14ac:dyDescent="0.3"/>
    <row r="7" spans="2:4" s="3" customFormat="1" x14ac:dyDescent="0.3"/>
    <row r="8" spans="2:4" s="3" customFormat="1" x14ac:dyDescent="0.3"/>
    <row r="9" spans="2:4" s="4" customFormat="1" x14ac:dyDescent="0.3"/>
    <row r="10" spans="2:4" s="4" customFormat="1" x14ac:dyDescent="0.3"/>
    <row r="11" spans="2:4" s="4" customFormat="1" x14ac:dyDescent="0.3"/>
    <row r="12" spans="2:4" s="4" customFormat="1" x14ac:dyDescent="0.3"/>
    <row r="13" spans="2:4" s="4" customFormat="1" x14ac:dyDescent="0.3"/>
    <row r="14" spans="2:4" s="4" customFormat="1" x14ac:dyDescent="0.3"/>
    <row r="15" spans="2:4" s="4" customFormat="1" x14ac:dyDescent="0.3"/>
    <row r="16" spans="2:4" s="4" customFormat="1" x14ac:dyDescent="0.3"/>
    <row r="17" s="4" customFormat="1" x14ac:dyDescent="0.3"/>
    <row r="18" s="4" customFormat="1" x14ac:dyDescent="0.3"/>
    <row r="19" s="4" customFormat="1" x14ac:dyDescent="0.3"/>
    <row r="20" s="4" customFormat="1" x14ac:dyDescent="0.3"/>
    <row r="21" s="4" customFormat="1" x14ac:dyDescent="0.3"/>
    <row r="22" s="4" customFormat="1" x14ac:dyDescent="0.3"/>
    <row r="23" s="4" customFormat="1" x14ac:dyDescent="0.3"/>
    <row r="24" s="4" customFormat="1" x14ac:dyDescent="0.3"/>
    <row r="25" s="4" customFormat="1" x14ac:dyDescent="0.3"/>
    <row r="26" s="4" customFormat="1" x14ac:dyDescent="0.3"/>
    <row r="27" s="4" customFormat="1" x14ac:dyDescent="0.3"/>
    <row r="28" s="4" customFormat="1" x14ac:dyDescent="0.3"/>
    <row r="29" s="4" customFormat="1" x14ac:dyDescent="0.3"/>
    <row r="30" s="4" customFormat="1" x14ac:dyDescent="0.3"/>
    <row r="31" s="4" customFormat="1" x14ac:dyDescent="0.3"/>
    <row r="32" s="4" customFormat="1" x14ac:dyDescent="0.3"/>
    <row r="33" s="4" customFormat="1" x14ac:dyDescent="0.3"/>
    <row r="34" s="4" customFormat="1" x14ac:dyDescent="0.3"/>
    <row r="35" s="4" customFormat="1" x14ac:dyDescent="0.3"/>
    <row r="36" s="4" customFormat="1" x14ac:dyDescent="0.3"/>
    <row r="37" s="4" customFormat="1" x14ac:dyDescent="0.3"/>
    <row r="38" s="4" customFormat="1" x14ac:dyDescent="0.3"/>
    <row r="39" s="4" customFormat="1" x14ac:dyDescent="0.3"/>
    <row r="40" s="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Letswalo</dc:creator>
  <cp:lastModifiedBy>Neo Letswalo</cp:lastModifiedBy>
  <dcterms:created xsi:type="dcterms:W3CDTF">2025-12-15T15:32:27Z</dcterms:created>
  <dcterms:modified xsi:type="dcterms:W3CDTF">2025-12-15T17:41:51Z</dcterms:modified>
</cp:coreProperties>
</file>